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var\Desktop\Anais\image\"/>
    </mc:Choice>
  </mc:AlternateContent>
  <xr:revisionPtr revIDLastSave="0" documentId="8_{5754D772-3AF0-473B-A88D-C9C0DA5EC39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📊 Récap 4 ans" sheetId="1" r:id="rId1"/>
    <sheet name="⚙️ Hypothèses" sheetId="2" r:id="rId2"/>
    <sheet name="📅 2026" sheetId="3" r:id="rId3"/>
    <sheet name="📅 2027" sheetId="4" r:id="rId4"/>
    <sheet name="📅 2028" sheetId="5" r:id="rId5"/>
    <sheet name="📅 2029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6" i="6" l="1"/>
  <c r="L16" i="6"/>
  <c r="K16" i="6"/>
  <c r="J16" i="6"/>
  <c r="I16" i="6"/>
  <c r="H16" i="6"/>
  <c r="G16" i="6"/>
  <c r="F16" i="6"/>
  <c r="E16" i="6"/>
  <c r="D16" i="6"/>
  <c r="C16" i="6"/>
  <c r="B16" i="6"/>
  <c r="N16" i="6" s="1"/>
  <c r="E9" i="1" s="1"/>
  <c r="L15" i="6"/>
  <c r="F15" i="6"/>
  <c r="F17" i="6" s="1"/>
  <c r="A15" i="6"/>
  <c r="C14" i="6"/>
  <c r="K13" i="6"/>
  <c r="F13" i="6"/>
  <c r="C13" i="6"/>
  <c r="M12" i="6"/>
  <c r="L12" i="6"/>
  <c r="K12" i="6"/>
  <c r="J12" i="6"/>
  <c r="I12" i="6"/>
  <c r="H12" i="6"/>
  <c r="G12" i="6"/>
  <c r="F12" i="6"/>
  <c r="E12" i="6"/>
  <c r="D12" i="6"/>
  <c r="C12" i="6"/>
  <c r="B12" i="6"/>
  <c r="N12" i="6" s="1"/>
  <c r="M11" i="6"/>
  <c r="L11" i="6"/>
  <c r="K11" i="6"/>
  <c r="J11" i="6"/>
  <c r="I11" i="6"/>
  <c r="H11" i="6"/>
  <c r="G11" i="6"/>
  <c r="F11" i="6"/>
  <c r="E11" i="6"/>
  <c r="D11" i="6"/>
  <c r="C11" i="6"/>
  <c r="B11" i="6"/>
  <c r="N11" i="6" s="1"/>
  <c r="M10" i="6"/>
  <c r="L10" i="6"/>
  <c r="K10" i="6"/>
  <c r="J10" i="6"/>
  <c r="I10" i="6"/>
  <c r="H10" i="6"/>
  <c r="G10" i="6"/>
  <c r="F10" i="6"/>
  <c r="E10" i="6"/>
  <c r="D10" i="6"/>
  <c r="C10" i="6"/>
  <c r="B10" i="6"/>
  <c r="N10" i="6" s="1"/>
  <c r="M9" i="6"/>
  <c r="L9" i="6"/>
  <c r="K9" i="6"/>
  <c r="K14" i="6" s="1"/>
  <c r="J9" i="6"/>
  <c r="I9" i="6"/>
  <c r="H9" i="6"/>
  <c r="G9" i="6"/>
  <c r="F9" i="6"/>
  <c r="F14" i="6" s="1"/>
  <c r="E9" i="6"/>
  <c r="D9" i="6"/>
  <c r="C9" i="6"/>
  <c r="B9" i="6"/>
  <c r="N9" i="6" s="1"/>
  <c r="M7" i="6"/>
  <c r="L7" i="6"/>
  <c r="L13" i="6" s="1"/>
  <c r="K7" i="6"/>
  <c r="G7" i="6"/>
  <c r="G15" i="6" s="1"/>
  <c r="F7" i="6"/>
  <c r="C7" i="6"/>
  <c r="N6" i="6"/>
  <c r="M6" i="6"/>
  <c r="L6" i="6"/>
  <c r="K6" i="6"/>
  <c r="J6" i="6"/>
  <c r="J7" i="6" s="1"/>
  <c r="I6" i="6"/>
  <c r="I7" i="6" s="1"/>
  <c r="H6" i="6"/>
  <c r="H7" i="6" s="1"/>
  <c r="G6" i="6"/>
  <c r="F6" i="6"/>
  <c r="E6" i="6"/>
  <c r="E7" i="6" s="1"/>
  <c r="D6" i="6"/>
  <c r="D7" i="6" s="1"/>
  <c r="C6" i="6"/>
  <c r="B6" i="6"/>
  <c r="B7" i="6" s="1"/>
  <c r="N5" i="6"/>
  <c r="M16" i="5"/>
  <c r="L16" i="5"/>
  <c r="K16" i="5"/>
  <c r="J16" i="5"/>
  <c r="I16" i="5"/>
  <c r="H16" i="5"/>
  <c r="G16" i="5"/>
  <c r="F16" i="5"/>
  <c r="E16" i="5"/>
  <c r="D16" i="5"/>
  <c r="C16" i="5"/>
  <c r="B16" i="5"/>
  <c r="N16" i="5" s="1"/>
  <c r="D9" i="1" s="1"/>
  <c r="F15" i="5"/>
  <c r="E15" i="5"/>
  <c r="E17" i="5" s="1"/>
  <c r="A15" i="5"/>
  <c r="I13" i="5"/>
  <c r="E13" i="5"/>
  <c r="M12" i="5"/>
  <c r="L12" i="5"/>
  <c r="K12" i="5"/>
  <c r="J12" i="5"/>
  <c r="I12" i="5"/>
  <c r="H12" i="5"/>
  <c r="G12" i="5"/>
  <c r="F12" i="5"/>
  <c r="E12" i="5"/>
  <c r="D12" i="5"/>
  <c r="C12" i="5"/>
  <c r="B12" i="5"/>
  <c r="N12" i="5" s="1"/>
  <c r="M11" i="5"/>
  <c r="L11" i="5"/>
  <c r="K11" i="5"/>
  <c r="J11" i="5"/>
  <c r="I11" i="5"/>
  <c r="H11" i="5"/>
  <c r="G11" i="5"/>
  <c r="F11" i="5"/>
  <c r="E11" i="5"/>
  <c r="D11" i="5"/>
  <c r="C11" i="5"/>
  <c r="B11" i="5"/>
  <c r="N11" i="5" s="1"/>
  <c r="M10" i="5"/>
  <c r="L10" i="5"/>
  <c r="K10" i="5"/>
  <c r="J10" i="5"/>
  <c r="I10" i="5"/>
  <c r="H10" i="5"/>
  <c r="G10" i="5"/>
  <c r="F10" i="5"/>
  <c r="E10" i="5"/>
  <c r="D10" i="5"/>
  <c r="C10" i="5"/>
  <c r="B10" i="5"/>
  <c r="N10" i="5" s="1"/>
  <c r="M9" i="5"/>
  <c r="L9" i="5"/>
  <c r="K9" i="5"/>
  <c r="J9" i="5"/>
  <c r="I9" i="5"/>
  <c r="I14" i="5" s="1"/>
  <c r="H9" i="5"/>
  <c r="G9" i="5"/>
  <c r="F9" i="5"/>
  <c r="E9" i="5"/>
  <c r="E14" i="5" s="1"/>
  <c r="D9" i="5"/>
  <c r="C9" i="5"/>
  <c r="B9" i="5"/>
  <c r="M7" i="5"/>
  <c r="M15" i="5" s="1"/>
  <c r="I7" i="5"/>
  <c r="G7" i="5"/>
  <c r="F7" i="5"/>
  <c r="F13" i="5" s="1"/>
  <c r="E7" i="5"/>
  <c r="E21" i="5" s="1"/>
  <c r="E23" i="5" s="1"/>
  <c r="N6" i="5"/>
  <c r="M6" i="5"/>
  <c r="L6" i="5"/>
  <c r="L7" i="5" s="1"/>
  <c r="K6" i="5"/>
  <c r="K7" i="5" s="1"/>
  <c r="J6" i="5"/>
  <c r="J7" i="5" s="1"/>
  <c r="I6" i="5"/>
  <c r="H6" i="5"/>
  <c r="H7" i="5" s="1"/>
  <c r="G6" i="5"/>
  <c r="F6" i="5"/>
  <c r="E6" i="5"/>
  <c r="D6" i="5"/>
  <c r="D7" i="5" s="1"/>
  <c r="C6" i="5"/>
  <c r="C7" i="5" s="1"/>
  <c r="B6" i="5"/>
  <c r="B7" i="5" s="1"/>
  <c r="N5" i="5"/>
  <c r="M16" i="4"/>
  <c r="L16" i="4"/>
  <c r="K16" i="4"/>
  <c r="J16" i="4"/>
  <c r="I16" i="4"/>
  <c r="H16" i="4"/>
  <c r="G16" i="4"/>
  <c r="F16" i="4"/>
  <c r="E16" i="4"/>
  <c r="D16" i="4"/>
  <c r="C16" i="4"/>
  <c r="B16" i="4"/>
  <c r="N16" i="4" s="1"/>
  <c r="C9" i="1" s="1"/>
  <c r="K15" i="4"/>
  <c r="K17" i="4" s="1"/>
  <c r="A15" i="4"/>
  <c r="K13" i="4"/>
  <c r="C13" i="4"/>
  <c r="M12" i="4"/>
  <c r="L12" i="4"/>
  <c r="K12" i="4"/>
  <c r="J12" i="4"/>
  <c r="I12" i="4"/>
  <c r="H12" i="4"/>
  <c r="G12" i="4"/>
  <c r="F12" i="4"/>
  <c r="E12" i="4"/>
  <c r="D12" i="4"/>
  <c r="C12" i="4"/>
  <c r="B12" i="4"/>
  <c r="N12" i="4" s="1"/>
  <c r="M11" i="4"/>
  <c r="L11" i="4"/>
  <c r="K11" i="4"/>
  <c r="J11" i="4"/>
  <c r="I11" i="4"/>
  <c r="H11" i="4"/>
  <c r="G11" i="4"/>
  <c r="F11" i="4"/>
  <c r="E11" i="4"/>
  <c r="D11" i="4"/>
  <c r="C11" i="4"/>
  <c r="B11" i="4"/>
  <c r="N11" i="4" s="1"/>
  <c r="M10" i="4"/>
  <c r="L10" i="4"/>
  <c r="K10" i="4"/>
  <c r="J10" i="4"/>
  <c r="I10" i="4"/>
  <c r="H10" i="4"/>
  <c r="G10" i="4"/>
  <c r="F10" i="4"/>
  <c r="E10" i="4"/>
  <c r="D10" i="4"/>
  <c r="C10" i="4"/>
  <c r="B10" i="4"/>
  <c r="N10" i="4" s="1"/>
  <c r="M9" i="4"/>
  <c r="L9" i="4"/>
  <c r="K9" i="4"/>
  <c r="K14" i="4" s="1"/>
  <c r="J9" i="4"/>
  <c r="I9" i="4"/>
  <c r="H9" i="4"/>
  <c r="G9" i="4"/>
  <c r="F9" i="4"/>
  <c r="E9" i="4"/>
  <c r="D9" i="4"/>
  <c r="C9" i="4"/>
  <c r="C14" i="4" s="1"/>
  <c r="B9" i="4"/>
  <c r="N9" i="4" s="1"/>
  <c r="M7" i="4"/>
  <c r="L7" i="4"/>
  <c r="L13" i="4" s="1"/>
  <c r="K7" i="4"/>
  <c r="K21" i="4" s="1"/>
  <c r="K23" i="4" s="1"/>
  <c r="G7" i="4"/>
  <c r="G15" i="4" s="1"/>
  <c r="C7" i="4"/>
  <c r="N6" i="4"/>
  <c r="M6" i="4"/>
  <c r="L6" i="4"/>
  <c r="K6" i="4"/>
  <c r="J6" i="4"/>
  <c r="J7" i="4" s="1"/>
  <c r="I6" i="4"/>
  <c r="I7" i="4" s="1"/>
  <c r="H6" i="4"/>
  <c r="H7" i="4" s="1"/>
  <c r="G6" i="4"/>
  <c r="F6" i="4"/>
  <c r="F7" i="4" s="1"/>
  <c r="E6" i="4"/>
  <c r="E7" i="4" s="1"/>
  <c r="D6" i="4"/>
  <c r="D7" i="4" s="1"/>
  <c r="C6" i="4"/>
  <c r="B6" i="4"/>
  <c r="B7" i="4" s="1"/>
  <c r="N5" i="4"/>
  <c r="C6" i="1" s="1"/>
  <c r="F6" i="1" s="1"/>
  <c r="G6" i="1" s="1"/>
  <c r="F16" i="3"/>
  <c r="B9" i="1" s="1"/>
  <c r="E16" i="3"/>
  <c r="D16" i="3"/>
  <c r="C16" i="3"/>
  <c r="B16" i="3"/>
  <c r="A15" i="3"/>
  <c r="E12" i="3"/>
  <c r="D12" i="3"/>
  <c r="C12" i="3"/>
  <c r="B12" i="3"/>
  <c r="F12" i="3" s="1"/>
  <c r="E11" i="3"/>
  <c r="D11" i="3"/>
  <c r="C11" i="3"/>
  <c r="B11" i="3"/>
  <c r="F11" i="3" s="1"/>
  <c r="E10" i="3"/>
  <c r="D10" i="3"/>
  <c r="C10" i="3"/>
  <c r="B10" i="3"/>
  <c r="F10" i="3" s="1"/>
  <c r="F9" i="3"/>
  <c r="E9" i="3"/>
  <c r="D9" i="3"/>
  <c r="C9" i="3"/>
  <c r="B9" i="3"/>
  <c r="E7" i="3"/>
  <c r="E15" i="3" s="1"/>
  <c r="B7" i="3"/>
  <c r="F6" i="3"/>
  <c r="E6" i="3"/>
  <c r="D6" i="3"/>
  <c r="D7" i="3" s="1"/>
  <c r="C6" i="3"/>
  <c r="C7" i="3" s="1"/>
  <c r="B6" i="3"/>
  <c r="F5" i="3"/>
  <c r="E6" i="1"/>
  <c r="D6" i="1"/>
  <c r="B6" i="1"/>
  <c r="J14" i="4" l="1"/>
  <c r="F15" i="4"/>
  <c r="F17" i="4" s="1"/>
  <c r="F21" i="4" s="1"/>
  <c r="F23" i="4" s="1"/>
  <c r="F13" i="4"/>
  <c r="E15" i="6"/>
  <c r="E13" i="6"/>
  <c r="E15" i="4"/>
  <c r="E13" i="4"/>
  <c r="E14" i="4" s="1"/>
  <c r="L14" i="4"/>
  <c r="C14" i="3"/>
  <c r="C14" i="5"/>
  <c r="I15" i="6"/>
  <c r="I17" i="6" s="1"/>
  <c r="I21" i="6" s="1"/>
  <c r="I23" i="6" s="1"/>
  <c r="I13" i="6"/>
  <c r="I14" i="6" s="1"/>
  <c r="D13" i="3"/>
  <c r="D14" i="3" s="1"/>
  <c r="D15" i="3"/>
  <c r="J15" i="5"/>
  <c r="J13" i="5"/>
  <c r="J14" i="5" s="1"/>
  <c r="J13" i="6"/>
  <c r="J14" i="6" s="1"/>
  <c r="J15" i="6"/>
  <c r="J13" i="4"/>
  <c r="J15" i="4"/>
  <c r="K13" i="5"/>
  <c r="K15" i="5"/>
  <c r="K17" i="5" s="1"/>
  <c r="K21" i="5" s="1"/>
  <c r="K23" i="5" s="1"/>
  <c r="D14" i="6"/>
  <c r="E17" i="3"/>
  <c r="E21" i="3" s="1"/>
  <c r="E23" i="3" s="1"/>
  <c r="D13" i="5"/>
  <c r="D15" i="5"/>
  <c r="D15" i="4"/>
  <c r="D13" i="4"/>
  <c r="D14" i="4" s="1"/>
  <c r="K14" i="5"/>
  <c r="G17" i="6"/>
  <c r="G21" i="6" s="1"/>
  <c r="G23" i="6" s="1"/>
  <c r="L14" i="6"/>
  <c r="H13" i="5"/>
  <c r="H14" i="5" s="1"/>
  <c r="H15" i="5"/>
  <c r="H17" i="5" s="1"/>
  <c r="H21" i="5" s="1"/>
  <c r="H23" i="5" s="1"/>
  <c r="H15" i="6"/>
  <c r="H17" i="6" s="1"/>
  <c r="H21" i="6" s="1"/>
  <c r="H23" i="6" s="1"/>
  <c r="H13" i="6"/>
  <c r="H14" i="6" s="1"/>
  <c r="C15" i="3"/>
  <c r="C17" i="3" s="1"/>
  <c r="C21" i="3" s="1"/>
  <c r="C23" i="3" s="1"/>
  <c r="F7" i="3"/>
  <c r="C13" i="3"/>
  <c r="H15" i="4"/>
  <c r="H13" i="4"/>
  <c r="I15" i="4"/>
  <c r="I13" i="4"/>
  <c r="I14" i="4" s="1"/>
  <c r="D14" i="5"/>
  <c r="L15" i="5"/>
  <c r="L13" i="5"/>
  <c r="L14" i="5" s="1"/>
  <c r="F14" i="5"/>
  <c r="F17" i="5"/>
  <c r="F21" i="5" s="1"/>
  <c r="F23" i="5" s="1"/>
  <c r="E14" i="6"/>
  <c r="C23" i="4"/>
  <c r="D15" i="6"/>
  <c r="D13" i="6"/>
  <c r="F9" i="1"/>
  <c r="G9" i="1" s="1"/>
  <c r="F14" i="4"/>
  <c r="N7" i="5"/>
  <c r="B15" i="5"/>
  <c r="B13" i="5"/>
  <c r="N13" i="5" s="1"/>
  <c r="N7" i="6"/>
  <c r="B13" i="6"/>
  <c r="B15" i="6"/>
  <c r="N7" i="4"/>
  <c r="B13" i="4"/>
  <c r="B15" i="4"/>
  <c r="H14" i="4"/>
  <c r="C15" i="5"/>
  <c r="C13" i="5"/>
  <c r="L17" i="6"/>
  <c r="L21" i="6" s="1"/>
  <c r="L23" i="6" s="1"/>
  <c r="B15" i="3"/>
  <c r="B13" i="3"/>
  <c r="F13" i="3" s="1"/>
  <c r="M13" i="4"/>
  <c r="M14" i="4" s="1"/>
  <c r="G13" i="5"/>
  <c r="G14" i="5" s="1"/>
  <c r="M13" i="6"/>
  <c r="M14" i="6" s="1"/>
  <c r="F21" i="6"/>
  <c r="F23" i="6" s="1"/>
  <c r="K15" i="6"/>
  <c r="K17" i="6" s="1"/>
  <c r="M15" i="6"/>
  <c r="E13" i="3"/>
  <c r="E14" i="3" s="1"/>
  <c r="G15" i="5"/>
  <c r="G17" i="5" s="1"/>
  <c r="G21" i="5" s="1"/>
  <c r="G23" i="5" s="1"/>
  <c r="L15" i="4"/>
  <c r="L17" i="4" s="1"/>
  <c r="L21" i="4" s="1"/>
  <c r="L23" i="4" s="1"/>
  <c r="M15" i="4"/>
  <c r="N9" i="5"/>
  <c r="C15" i="4"/>
  <c r="C17" i="4" s="1"/>
  <c r="I15" i="5"/>
  <c r="I17" i="5" s="1"/>
  <c r="C15" i="6"/>
  <c r="C17" i="6" s="1"/>
  <c r="K21" i="6"/>
  <c r="K23" i="6" s="1"/>
  <c r="G13" i="4"/>
  <c r="G14" i="4" s="1"/>
  <c r="M13" i="5"/>
  <c r="M14" i="5" s="1"/>
  <c r="G13" i="6"/>
  <c r="G14" i="6" s="1"/>
  <c r="C21" i="4"/>
  <c r="I21" i="5"/>
  <c r="I23" i="5" s="1"/>
  <c r="C21" i="6"/>
  <c r="C23" i="6" s="1"/>
  <c r="B17" i="4" l="1"/>
  <c r="N15" i="4"/>
  <c r="D17" i="4"/>
  <c r="D21" i="4" s="1"/>
  <c r="D23" i="4" s="1"/>
  <c r="J17" i="5"/>
  <c r="J21" i="5" s="1"/>
  <c r="J23" i="5" s="1"/>
  <c r="B17" i="6"/>
  <c r="N15" i="6"/>
  <c r="L17" i="5"/>
  <c r="L21" i="5" s="1"/>
  <c r="L23" i="5" s="1"/>
  <c r="B3" i="1"/>
  <c r="A18" i="3"/>
  <c r="A24" i="3"/>
  <c r="J17" i="4"/>
  <c r="J21" i="4" s="1"/>
  <c r="J23" i="4" s="1"/>
  <c r="D17" i="3"/>
  <c r="D21" i="3" s="1"/>
  <c r="D23" i="3" s="1"/>
  <c r="B14" i="4"/>
  <c r="N14" i="4" s="1"/>
  <c r="N13" i="4"/>
  <c r="A24" i="4"/>
  <c r="C3" i="1"/>
  <c r="A18" i="4"/>
  <c r="B14" i="5"/>
  <c r="N14" i="5" s="1"/>
  <c r="E17" i="6"/>
  <c r="E21" i="6" s="1"/>
  <c r="E23" i="6" s="1"/>
  <c r="H17" i="4"/>
  <c r="H21" i="4" s="1"/>
  <c r="H23" i="4" s="1"/>
  <c r="M17" i="6"/>
  <c r="M21" i="6" s="1"/>
  <c r="M23" i="6" s="1"/>
  <c r="B14" i="3"/>
  <c r="F14" i="3" s="1"/>
  <c r="G17" i="4"/>
  <c r="G21" i="4" s="1"/>
  <c r="G23" i="4" s="1"/>
  <c r="N13" i="6"/>
  <c r="B14" i="6"/>
  <c r="N14" i="6" s="1"/>
  <c r="D17" i="5"/>
  <c r="D21" i="5" s="1"/>
  <c r="D23" i="5" s="1"/>
  <c r="A24" i="5"/>
  <c r="A18" i="5"/>
  <c r="D3" i="1"/>
  <c r="B17" i="3"/>
  <c r="F15" i="3"/>
  <c r="A24" i="6"/>
  <c r="E3" i="1"/>
  <c r="A18" i="6"/>
  <c r="M17" i="4"/>
  <c r="M21" i="4" s="1"/>
  <c r="M23" i="4" s="1"/>
  <c r="D17" i="6"/>
  <c r="D21" i="6" s="1"/>
  <c r="D23" i="6" s="1"/>
  <c r="M17" i="5"/>
  <c r="M21" i="5" s="1"/>
  <c r="M23" i="5" s="1"/>
  <c r="C17" i="5"/>
  <c r="C21" i="5" s="1"/>
  <c r="C23" i="5" s="1"/>
  <c r="J17" i="6"/>
  <c r="J21" i="6" s="1"/>
  <c r="J23" i="6" s="1"/>
  <c r="E17" i="4"/>
  <c r="E21" i="4" s="1"/>
  <c r="E23" i="4" s="1"/>
  <c r="B17" i="5"/>
  <c r="N15" i="5"/>
  <c r="I17" i="4"/>
  <c r="I21" i="4" s="1"/>
  <c r="I23" i="4" s="1"/>
  <c r="N17" i="4" l="1"/>
  <c r="C4" i="1" s="1"/>
  <c r="B21" i="4"/>
  <c r="N17" i="5"/>
  <c r="D4" i="1" s="1"/>
  <c r="B21" i="5"/>
  <c r="B21" i="3"/>
  <c r="F17" i="3"/>
  <c r="B4" i="1" s="1"/>
  <c r="F3" i="1"/>
  <c r="G3" i="1" s="1"/>
  <c r="N17" i="6"/>
  <c r="E4" i="1" s="1"/>
  <c r="B21" i="6"/>
  <c r="N21" i="5" l="1"/>
  <c r="B23" i="5"/>
  <c r="B22" i="4"/>
  <c r="C22" i="4" s="1"/>
  <c r="D22" i="4" s="1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N21" i="4"/>
  <c r="B23" i="4"/>
  <c r="N21" i="6"/>
  <c r="B23" i="6"/>
  <c r="B22" i="3"/>
  <c r="C22" i="3" s="1"/>
  <c r="D22" i="3" s="1"/>
  <c r="E22" i="3" s="1"/>
  <c r="F22" i="3" s="1"/>
  <c r="B8" i="1" s="1"/>
  <c r="F21" i="3"/>
  <c r="B23" i="3"/>
  <c r="F4" i="1"/>
  <c r="G4" i="1" s="1"/>
  <c r="C8" i="1" l="1"/>
  <c r="B22" i="5"/>
  <c r="C22" i="5" s="1"/>
  <c r="D22" i="5" s="1"/>
  <c r="E22" i="5" s="1"/>
  <c r="F22" i="5" s="1"/>
  <c r="G22" i="5" s="1"/>
  <c r="H22" i="5" s="1"/>
  <c r="I22" i="5" s="1"/>
  <c r="J22" i="5" s="1"/>
  <c r="K22" i="5" s="1"/>
  <c r="L22" i="5" s="1"/>
  <c r="M22" i="5" s="1"/>
  <c r="N22" i="5" s="1"/>
  <c r="B5" i="1"/>
  <c r="F23" i="3"/>
  <c r="B7" i="1" s="1"/>
  <c r="F7" i="1" s="1"/>
  <c r="G7" i="1" s="1"/>
  <c r="C5" i="1"/>
  <c r="N23" i="4"/>
  <c r="C7" i="1" s="1"/>
  <c r="D5" i="1"/>
  <c r="N23" i="5"/>
  <c r="D7" i="1" s="1"/>
  <c r="E5" i="1"/>
  <c r="N23" i="6"/>
  <c r="E7" i="1" s="1"/>
  <c r="B22" i="6" l="1"/>
  <c r="C22" i="6" s="1"/>
  <c r="D22" i="6" s="1"/>
  <c r="E22" i="6" s="1"/>
  <c r="F22" i="6" s="1"/>
  <c r="G22" i="6" s="1"/>
  <c r="H22" i="6" s="1"/>
  <c r="I22" i="6" s="1"/>
  <c r="J22" i="6" s="1"/>
  <c r="K22" i="6" s="1"/>
  <c r="L22" i="6" s="1"/>
  <c r="M22" i="6" s="1"/>
  <c r="N22" i="6" s="1"/>
  <c r="E8" i="1" s="1"/>
  <c r="F8" i="1" s="1"/>
  <c r="G8" i="1" s="1"/>
  <c r="D8" i="1"/>
  <c r="F5" i="1"/>
  <c r="G5" i="1" s="1"/>
</calcChain>
</file>

<file path=xl/sharedStrings.xml><?xml version="1.0" encoding="utf-8"?>
<sst xmlns="http://schemas.openxmlformats.org/spreadsheetml/2006/main" count="211" uniqueCount="125">
  <si>
    <t>🌸  L'Univers Créatif d'Anaïs  •  Récapitulatif 2026 → 2029</t>
  </si>
  <si>
    <t>INDICATEUR</t>
  </si>
  <si>
    <t>2026
(4 mois)</t>
  </si>
  <si>
    <t>2027
(12 mois)</t>
  </si>
  <si>
    <t>2028
(12 mois)</t>
  </si>
  <si>
    <t>2029
(12 mois)</t>
  </si>
  <si>
    <t>TOTAL 4 ANS</t>
  </si>
  <si>
    <t>Moy./an</t>
  </si>
  <si>
    <t>CA brut total (€)</t>
  </si>
  <si>
    <t>Total charges &amp; prélèvements (€)</t>
  </si>
  <si>
    <t>Résultat net total (€)</t>
  </si>
  <si>
    <t>Nb ateliers total</t>
  </si>
  <si>
    <t>Taux de marge moyen (%)</t>
  </si>
  <si>
    <t>Résultat cumulé fin d'année (€)</t>
  </si>
  <si>
    <t>CFE versée sur la période (€)</t>
  </si>
  <si>
    <t>ℹ️  Seuil micro-ent. 2026 : 77 700 €/an  •  Cotisations sociales : 21,6% du CA  •  Données saisies dans les onglets annuels (cellules vertes)  •  Moy./an calculée sur 40 mois d'activité</t>
  </si>
  <si>
    <t>ℹ️  Taux URSSAF 2026 BIC services : 21,2% du CA  •  CFE : 0€ en 2026, 50% en 2027, 100% à partir de 2028  •  Versement libératoire IR : 1,7% du CA (si option activée dans Hypothèses)  •  Franchise TVA services : 37 500 €/an  •  Seuil micro-ent. 2026 : 83 600 €/an</t>
  </si>
  <si>
    <t>🌸  L'Univers Créatif d'Anaïs</t>
  </si>
  <si>
    <t>TABLEAU PRÉVISIONNEL 3 ANS  •  Sept 2026 – Déc 2028</t>
  </si>
  <si>
    <t>⚙️  HYPOTHÈSES &amp; PARAMÈTRES</t>
  </si>
  <si>
    <t>Cellules vertes = saisie manuelle  |  Cellules blanches = calculées automatiquement</t>
  </si>
  <si>
    <t>🧵  Types d'ateliers &amp; Tarifs</t>
  </si>
  <si>
    <t>Tarif atelier Macramé (adulte, €)</t>
  </si>
  <si>
    <t>Prix moyen par participant</t>
  </si>
  <si>
    <t>Tarif atelier Couture (adulte, €)</t>
  </si>
  <si>
    <t>Tarif atelier Bijoux en résine (adulte, €)</t>
  </si>
  <si>
    <t>Tarif atelier enfant (toutes catégories, €)</t>
  </si>
  <si>
    <t>Tarif réduit enfant</t>
  </si>
  <si>
    <t>Nombre moyen de participants / atelier</t>
  </si>
  <si>
    <t>Places disponibles par session</t>
  </si>
  <si>
    <t>% participants adultes</t>
  </si>
  <si>
    <t>% participants enfants</t>
  </si>
  <si>
    <t>📅  Capacité &amp; Planning</t>
  </si>
  <si>
    <t>Nb ateliers / semaine (mercredi + samedi)</t>
  </si>
  <si>
    <t>2 jours selon flyer</t>
  </si>
  <si>
    <t>Nb semaines d'activité / mois</t>
  </si>
  <si>
    <t>En moyenne</t>
  </si>
  <si>
    <t>Nb semaines de congés / an</t>
  </si>
  <si>
    <t>Estimation fermeture</t>
  </si>
  <si>
    <t>Taux de remplissage moyen (démarrage)</t>
  </si>
  <si>
    <t>Phase lancement</t>
  </si>
  <si>
    <t>Taux de remplissage cible (régime normal)</t>
  </si>
  <si>
    <t>Objectif stabilisé</t>
  </si>
  <si>
    <t>📦  Charges mensuelles estimées</t>
  </si>
  <si>
    <t>Fournitures / consommables (€/mois)</t>
  </si>
  <si>
    <t>Matières premières ateliers</t>
  </si>
  <si>
    <t>Loyer / location salle (€/mois)</t>
  </si>
  <si>
    <t>Si location ponctuelle</t>
  </si>
  <si>
    <t>Abonnements &amp; outils numériques (€/mois)</t>
  </si>
  <si>
    <t>Site, réseaux, outils</t>
  </si>
  <si>
    <t>Frais divers &amp; communication (€/mois)</t>
  </si>
  <si>
    <t>Flyers, publicité locale</t>
  </si>
  <si>
    <t>Cotisations sociales URSSAF micro-ent. (% CA) – BIC services</t>
  </si>
  <si>
    <t>Taux officiel 2026 BIC prestations de services (ateliers artisanaux)</t>
  </si>
  <si>
    <t>📈  Hypothèses de croissance</t>
  </si>
  <si>
    <t>Croissance mensuelle N1 (sept-déc 2026)</t>
  </si>
  <si>
    <t>Phase lancement rapide</t>
  </si>
  <si>
    <t>Croissance mensuelle N2 (2027)</t>
  </si>
  <si>
    <t>Stabilisation progressive</t>
  </si>
  <si>
    <t>Croissance mensuelle N3 (2028)</t>
  </si>
  <si>
    <t>Régime de croisière</t>
  </si>
  <si>
    <t>Tarif moyen atelier retenu (€)</t>
  </si>
  <si>
    <t>Mix adulte/enfant/types</t>
  </si>
  <si>
    <t>ℹ️  Seuil micro-entreprise services 2026 : 77 700 € / an  |  Plafond TVA franchise : 36 800 €</t>
  </si>
  <si>
    <t>🏛️  FISCALITÉ – TVA, CFE, Versement Libératoire &amp; IR</t>
  </si>
  <si>
    <t>Seuil franchise TVA services (€/an)</t>
  </si>
  <si>
    <t>En-dessous : pas de TVA à facturer (2026)</t>
  </si>
  <si>
    <t>Seuil tolérance TVA services (€/an)</t>
  </si>
  <si>
    <t>En dépassant ponctuellement ce seuil → TVA dès le 1er jour</t>
  </si>
  <si>
    <t>Option versement libératoire IR ?</t>
  </si>
  <si>
    <t>OUI</t>
  </si>
  <si>
    <t>OUI = IR inclus dans déclaration URSSAF | NON = prélèvement à la source classique</t>
  </si>
  <si>
    <t>Taux versement libératoire IR (% CA)</t>
  </si>
  <si>
    <t>1,7% pour BIC services (si option activée)</t>
  </si>
  <si>
    <t>CFE – Cotisation minimale estimée (€/an)</t>
  </si>
  <si>
    <t>Montant moyen commune petite ville (variable 250€-800€)</t>
  </si>
  <si>
    <t>CFE – % applicable en 2026 (année création)</t>
  </si>
  <si>
    <t>Exonération totale 1ère année civile d'activité</t>
  </si>
  <si>
    <t>CFE – % applicable en 2027 (2ème année)</t>
  </si>
  <si>
    <t>Base réduite de 50% la 2ème année d'activité</t>
  </si>
  <si>
    <t>CFE – % applicable en 2028 et après</t>
  </si>
  <si>
    <t>100% de la cotisation minimale à partir de la 3ème année</t>
  </si>
  <si>
    <t>ℹ️  TVA : Anaïs est en franchise de base TVA tant que son CA annuel reste sous 37 500 €. Si le CA dépasse 41 250 € → assujettissement à la TVA à partir du 1er jour du mois de dépassement. Les onglets annuels affichent une alerte automatique.</t>
  </si>
  <si>
    <t>ℹ️  Versement libératoire : conditions 2026 – revenu fiscal de référence 2023 ≤ 28 797 € / part. Taux IR 1,7% du CA prélevé en même temps que les cotisations URSSAF. Avantage : pas de régularisation IR en fin d'année. Inconvénient : pas de modulation.</t>
  </si>
  <si>
    <t>ℹ️  CFE : exonération totale en 2026 (année de création). En 2027 : base réduite de 50%. À partir de 2028 : cotisation minimale pleine (250 € à 800 € selon commune). Exonération automatique si CA N-2 &lt; 5 000 €.</t>
  </si>
  <si>
    <t>🌸  L'Univers Créatif d'Anaïs  •  Prévisionnel 2026</t>
  </si>
  <si>
    <t>Cellules vertes = saisie manuelle  |  Formules = calcul automatique  |  Modifier les hypothèses dans l'onglet ⚙️</t>
  </si>
  <si>
    <t>LIBELLÉ</t>
  </si>
  <si>
    <t>SEPTEMBRE</t>
  </si>
  <si>
    <t>OCTOBRE</t>
  </si>
  <si>
    <t>NOVEMBRE</t>
  </si>
  <si>
    <t>DÉCEMBRE</t>
  </si>
  <si>
    <t>TOTAL 2026</t>
  </si>
  <si>
    <t>💰  RECETTES</t>
  </si>
  <si>
    <t>Nb d'ateliers réalisés dans le mois</t>
  </si>
  <si>
    <t>Nb moyen participants / atelier (hyp.)</t>
  </si>
  <si>
    <t>Chiffre d'Affaires brut (€)</t>
  </si>
  <si>
    <t>📦  CHARGES</t>
  </si>
  <si>
    <t>Fournitures &amp; consommables (€)</t>
  </si>
  <si>
    <t>Loyer / location salle (€)</t>
  </si>
  <si>
    <t>Abonnements &amp; outils numériques (€)</t>
  </si>
  <si>
    <t>Frais divers &amp; communication (€)</t>
  </si>
  <si>
    <t>Cotisations sociales micro-ent. (€)</t>
  </si>
  <si>
    <t>TOTAL CHARGES (€)</t>
  </si>
  <si>
    <t>CFE – Cotisation Foncière Entreprises (€/mois)</t>
  </si>
  <si>
    <t>TOTAL CHARGES &amp; PRÉLÈVEMENTS (€)</t>
  </si>
  <si>
    <t>📊  RÉSULTATS</t>
  </si>
  <si>
    <t>Résultat net mensuel (€)</t>
  </si>
  <si>
    <t>Résultat cumulé (€)</t>
  </si>
  <si>
    <t>Taux de marge nette (%)</t>
  </si>
  <si>
    <t>🌸  L'Univers Créatif d'Anaïs  •  Prévisionnel 2027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</si>
  <si>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</si>
  <si>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</si>
  <si>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</si>
  <si>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</si>
  <si>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</si>
  <si>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</si>
  <si>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</si>
  <si>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</si>
  <si>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TOTAL 2027</t>
  </si>
  <si>
    <t>Résultat cumulé depuis sept 2026 (€)</t>
  </si>
  <si>
    <t>🌸  L'Univers Créatif d'Anaïs  •  Prévisionnel 2028</t>
  </si>
  <si>
    <t>TOTAL 2028</t>
  </si>
  <si>
    <t>🌸  L'Univers Créatif d'Anaïs  •  Prévisionnel 2029</t>
  </si>
  <si>
    <t>TOTAL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</si>
</sst>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 €&quot;"/>
    <numFmt numFmtId="165" formatCode="0.0%"/>
    <numFmt numFmtId="166" formatCode="0.0"/>
  </numFmts>
  <fonts count="18" x14ac:knownFonts="1">
    <font>
      <sz val="11"/>
      <color theme="1"/>
      <name val="Calibri"/>
      <family val="2"/>
      <charset val="1"/>
    </font>
    <font>
      <b/>
      <sz val="16"/>
      <color rgb="FF8B5A3A"/>
      <name val="Arial"/>
      <charset val="1"/>
    </font>
    <font>
      <b/>
      <sz val="10"/>
      <color rgb="FFFFFFFF"/>
      <name val="Arial"/>
      <charset val="1"/>
    </font>
    <font>
      <sz val="10"/>
      <color rgb="FF4A4A4A"/>
      <name val="Arial"/>
      <charset val="1"/>
    </font>
    <font>
      <b/>
      <sz val="10"/>
      <color rgb="FF8B5A3A"/>
      <name val="Arial"/>
      <charset val="1"/>
    </font>
    <font>
      <i/>
      <sz val="10"/>
      <color rgb="FFC08060"/>
      <name val="Arial"/>
      <charset val="1"/>
    </font>
    <font>
      <i/>
      <sz val="10"/>
      <color rgb="FF4A4A4A"/>
      <name val="Arial"/>
      <charset val="1"/>
    </font>
    <font>
      <i/>
      <sz val="9"/>
      <color rgb="FF8B5A3A"/>
      <name val="Arial"/>
      <charset val="1"/>
    </font>
    <font>
      <b/>
      <sz val="18"/>
      <color rgb="FF8B5A3A"/>
      <name val="Arial"/>
      <charset val="1"/>
    </font>
    <font>
      <b/>
      <sz val="13"/>
      <color rgb="FFC08060"/>
      <name val="Arial"/>
      <charset val="1"/>
    </font>
    <font>
      <b/>
      <sz val="12"/>
      <color rgb="FFFFFFFF"/>
      <name val="Arial"/>
      <charset val="1"/>
    </font>
    <font>
      <i/>
      <sz val="9"/>
      <color rgb="FFC08060"/>
      <name val="Arial"/>
      <charset val="1"/>
    </font>
    <font>
      <b/>
      <sz val="11"/>
      <color rgb="FFFFFFFF"/>
      <name val="Arial"/>
      <charset val="1"/>
    </font>
    <font>
      <b/>
      <sz val="10"/>
      <color rgb="FF1A5E30"/>
      <name val="Arial"/>
      <charset val="1"/>
    </font>
    <font>
      <i/>
      <sz val="9"/>
      <color rgb="FF888888"/>
      <name val="Arial"/>
      <charset val="1"/>
    </font>
    <font>
      <b/>
      <sz val="9"/>
      <color rgb="FFFFFFFF"/>
      <name val="Arial"/>
      <charset val="1"/>
    </font>
    <font>
      <sz val="10"/>
      <color rgb="FF1A5E30"/>
      <name val="Arial"/>
      <charset val="1"/>
    </font>
    <font>
      <b/>
      <i/>
      <sz val="10"/>
      <color rgb="FF8B5A3A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0EC"/>
        <bgColor rgb="FFFAF3EE"/>
      </patternFill>
    </fill>
    <fill>
      <patternFill patternType="solid">
        <fgColor rgb="FF8B5A3A"/>
        <bgColor rgb="FF7B5230"/>
      </patternFill>
    </fill>
    <fill>
      <patternFill patternType="solid">
        <fgColor rgb="FFFAF3EE"/>
        <bgColor rgb="FFFFF0EC"/>
      </patternFill>
    </fill>
    <fill>
      <patternFill patternType="solid">
        <fgColor rgb="FFF2C4B8"/>
        <bgColor rgb="FFC0C0C0"/>
      </patternFill>
    </fill>
    <fill>
      <patternFill patternType="solid">
        <fgColor rgb="FFC08060"/>
        <bgColor rgb="FFA07850"/>
      </patternFill>
    </fill>
    <fill>
      <patternFill patternType="solid">
        <fgColor rgb="FFD4EDDA"/>
        <bgColor rgb="FFCCFFFF"/>
      </patternFill>
    </fill>
    <fill>
      <patternFill patternType="solid">
        <fgColor rgb="FFFFF9C4"/>
        <bgColor rgb="FFFAF3E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AF3EE"/>
      </patternFill>
    </fill>
  </fills>
  <borders count="10">
    <border>
      <left/>
      <right/>
      <top/>
      <bottom/>
      <diagonal/>
    </border>
    <border>
      <left style="medium">
        <color rgb="FF8B5A3A"/>
      </left>
      <right style="medium">
        <color rgb="FF8B5A3A"/>
      </right>
      <top style="medium">
        <color rgb="FF8B5A3A"/>
      </top>
      <bottom style="medium">
        <color rgb="FF8B5A3A"/>
      </bottom>
      <diagonal/>
    </border>
    <border>
      <left style="thin">
        <color rgb="FFC08060"/>
      </left>
      <right style="thin">
        <color rgb="FFC08060"/>
      </right>
      <top style="thin">
        <color rgb="FFC08060"/>
      </top>
      <bottom style="thin">
        <color rgb="FFC08060"/>
      </bottom>
      <diagonal/>
    </border>
    <border>
      <left/>
      <right/>
      <top style="thin">
        <color rgb="FFC08060"/>
      </top>
      <bottom style="thin">
        <color rgb="FFC08060"/>
      </bottom>
      <diagonal/>
    </border>
    <border>
      <left/>
      <right style="thin">
        <color rgb="FFC08060"/>
      </right>
      <top style="thin">
        <color rgb="FFC08060"/>
      </top>
      <bottom style="thin">
        <color rgb="FFC08060"/>
      </bottom>
      <diagonal/>
    </border>
    <border>
      <left style="thin">
        <color rgb="FFC08060"/>
      </left>
      <right/>
      <top style="thin">
        <color rgb="FFC08060"/>
      </top>
      <bottom style="thin">
        <color rgb="FFC08060"/>
      </bottom>
      <diagonal/>
    </border>
    <border>
      <left style="medium">
        <color rgb="FF8B5A3A"/>
      </left>
      <right/>
      <top style="medium">
        <color rgb="FF8B5A3A"/>
      </top>
      <bottom style="medium">
        <color rgb="FF8B5A3A"/>
      </bottom>
      <diagonal/>
    </border>
    <border>
      <left style="thin">
        <color rgb="FFC08060"/>
      </left>
      <right style="medium">
        <color rgb="FF8B5A3A"/>
      </right>
      <top style="thin">
        <color rgb="FFC08060"/>
      </top>
      <bottom style="thin">
        <color rgb="FFC08060"/>
      </bottom>
      <diagonal/>
    </border>
    <border>
      <left/>
      <right/>
      <top style="medium">
        <color rgb="FF8B5A3A"/>
      </top>
      <bottom style="medium">
        <color rgb="FF8B5A3A"/>
      </bottom>
      <diagonal/>
    </border>
    <border>
      <left/>
      <right style="medium">
        <color rgb="FF8B5A3A"/>
      </right>
      <top style="medium">
        <color rgb="FF8B5A3A"/>
      </top>
      <bottom style="medium">
        <color rgb="FF8B5A3A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8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164" fontId="6" fillId="4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164" fontId="13" fillId="7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/>
    </xf>
    <xf numFmtId="10" fontId="13" fillId="7" borderId="2" xfId="0" applyNumberFormat="1" applyFont="1" applyFill="1" applyBorder="1" applyAlignment="1">
      <alignment horizontal="center" vertical="center"/>
    </xf>
    <xf numFmtId="165" fontId="13" fillId="7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9" fontId="13" fillId="7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1" fontId="16" fillId="7" borderId="2" xfId="0" applyNumberFormat="1" applyFont="1" applyFill="1" applyBorder="1" applyAlignment="1">
      <alignment horizontal="center" vertical="center"/>
    </xf>
    <xf numFmtId="166" fontId="3" fillId="4" borderId="2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64" fontId="17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8" xfId="0" applyBorder="1"/>
    <xf numFmtId="1" fontId="13" fillId="7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9" xfId="0" applyBorder="1"/>
    <xf numFmtId="0" fontId="2" fillId="6" borderId="2" xfId="0" applyFont="1" applyFill="1" applyBorder="1" applyAlignment="1">
      <alignment horizontal="left" vertical="center"/>
    </xf>
    <xf numFmtId="0" fontId="0" fillId="9" borderId="0" xfId="0" applyFill="1"/>
    <xf numFmtId="0" fontId="0" fillId="9" borderId="0" xfId="0" applyFill="1"/>
    <xf numFmtId="0" fontId="4" fillId="10" borderId="6" xfId="0" applyFont="1" applyFill="1" applyBorder="1" applyAlignment="1">
      <alignment horizontal="center" vertical="center"/>
    </xf>
    <xf numFmtId="0" fontId="0" fillId="9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E30"/>
      <rgbColor rgb="FF000080"/>
      <rgbColor rgb="FFA07850"/>
      <rgbColor rgb="FF800080"/>
      <rgbColor rgb="FF008080"/>
      <rgbColor rgb="FFC0C0C0"/>
      <rgbColor rgb="FF888888"/>
      <rgbColor rgb="FF9999FF"/>
      <rgbColor rgb="FF8B5A3A"/>
      <rgbColor rgb="FFFFF9C4"/>
      <rgbColor rgb="FFFA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0EC"/>
      <rgbColor rgb="FF99CCFF"/>
      <rgbColor rgb="FFFF99CC"/>
      <rgbColor rgb="FFCC99FF"/>
      <rgbColor rgb="FFF2C4B8"/>
      <rgbColor rgb="FF3366FF"/>
      <rgbColor rgb="FF33CCCC"/>
      <rgbColor rgb="FF99CC00"/>
      <rgbColor rgb="FFFFCC00"/>
      <rgbColor rgb="FFFF9900"/>
      <rgbColor rgb="FFFF6600"/>
      <rgbColor rgb="FF666699"/>
      <rgbColor rgb="FFC08060"/>
      <rgbColor rgb="FF003366"/>
      <rgbColor rgb="FF339966"/>
      <rgbColor rgb="FF003300"/>
      <rgbColor rgb="FF5C3D20"/>
      <rgbColor rgb="FF7B523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B5A3A"/>
  </sheetPr>
  <dimension ref="A1:AR202"/>
  <sheetViews>
    <sheetView tabSelected="1" zoomScale="130" zoomScaleNormal="130" workbookViewId="0">
      <selection activeCell="A13" sqref="A13:XFD202"/>
    </sheetView>
  </sheetViews>
  <sheetFormatPr baseColWidth="10" defaultColWidth="8.6640625" defaultRowHeight="14.4" x14ac:dyDescent="0.3"/>
  <cols>
    <col min="1" max="1" width="36" customWidth="1"/>
    <col min="2" max="7" width="18" customWidth="1"/>
    <col min="8" max="44" width="8.6640625" style="63"/>
  </cols>
  <sheetData>
    <row r="1" spans="1:7" ht="37.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30" customHeight="1" x14ac:dyDescent="0.3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</row>
    <row r="3" spans="1:7" ht="21.75" customHeight="1" x14ac:dyDescent="0.3">
      <c r="A3" s="16" t="s">
        <v>8</v>
      </c>
      <c r="B3" s="17">
        <f>'📅 2026'!F7</f>
        <v>2640</v>
      </c>
      <c r="C3" s="17">
        <f>'📅 2027'!N7</f>
        <v>21888</v>
      </c>
      <c r="D3" s="17">
        <f>'📅 2028'!N7</f>
        <v>26496.000000000004</v>
      </c>
      <c r="E3" s="17">
        <f>'📅 2029'!N7</f>
        <v>27648.000000000004</v>
      </c>
      <c r="F3" s="18">
        <f>SUM(B3:E3)</f>
        <v>78672</v>
      </c>
      <c r="G3" s="19">
        <f>F3/3.33</f>
        <v>23625.225225225226</v>
      </c>
    </row>
    <row r="4" spans="1:7" ht="21.75" customHeight="1" x14ac:dyDescent="0.3">
      <c r="A4" s="20" t="s">
        <v>9</v>
      </c>
      <c r="B4" s="21">
        <f>'📅 2026'!F17</f>
        <v>2324.5600000000004</v>
      </c>
      <c r="C4" s="21">
        <f>'📅 2027'!N17</f>
        <v>10372.351999999999</v>
      </c>
      <c r="D4" s="21">
        <f>'📅 2028'!N17</f>
        <v>11627.584000000001</v>
      </c>
      <c r="E4" s="21">
        <f>'📅 2029'!N17</f>
        <v>11891.392</v>
      </c>
      <c r="F4" s="18">
        <f>SUM(B4:E4)</f>
        <v>36215.887999999999</v>
      </c>
      <c r="G4" s="19">
        <f>F4/3.33</f>
        <v>10875.642042042042</v>
      </c>
    </row>
    <row r="5" spans="1:7" ht="21.75" customHeight="1" x14ac:dyDescent="0.3">
      <c r="A5" s="16" t="s">
        <v>10</v>
      </c>
      <c r="B5" s="17">
        <f>'📅 2026'!F21</f>
        <v>315.44000000000005</v>
      </c>
      <c r="C5" s="17">
        <f>'📅 2027'!N21</f>
        <v>11515.648000000005</v>
      </c>
      <c r="D5" s="17">
        <f>'📅 2028'!N21</f>
        <v>14868.416000000003</v>
      </c>
      <c r="E5" s="17">
        <f>'📅 2029'!N21</f>
        <v>15756.608000000004</v>
      </c>
      <c r="F5" s="18">
        <f>SUM(B5:E5)</f>
        <v>42456.112000000008</v>
      </c>
      <c r="G5" s="19">
        <f>F5/3.33</f>
        <v>12749.583183183186</v>
      </c>
    </row>
    <row r="6" spans="1:7" ht="21.75" customHeight="1" x14ac:dyDescent="0.3">
      <c r="A6" s="20" t="s">
        <v>11</v>
      </c>
      <c r="B6" s="22">
        <f>'📅 2026'!F5</f>
        <v>22</v>
      </c>
      <c r="C6" s="22">
        <f>'📅 2027'!N5</f>
        <v>114</v>
      </c>
      <c r="D6" s="22">
        <f>'📅 2028'!N5</f>
        <v>138</v>
      </c>
      <c r="E6" s="22">
        <f>'📅 2029'!N5</f>
        <v>144</v>
      </c>
      <c r="F6" s="23">
        <f>SUM(B6:E6)</f>
        <v>418</v>
      </c>
      <c r="G6" s="24">
        <f>F6/3.33</f>
        <v>125.52552552552552</v>
      </c>
    </row>
    <row r="7" spans="1:7" ht="21.75" customHeight="1" x14ac:dyDescent="0.3">
      <c r="A7" s="16" t="s">
        <v>12</v>
      </c>
      <c r="B7" s="25">
        <f>'📅 2026'!F23</f>
        <v>0.1194848484848485</v>
      </c>
      <c r="C7" s="25">
        <f>'📅 2027'!N23</f>
        <v>0.52611695906432765</v>
      </c>
      <c r="D7" s="25">
        <f>'📅 2028'!N23</f>
        <v>0.5611570048309179</v>
      </c>
      <c r="E7" s="25">
        <f>'📅 2029'!N23</f>
        <v>0.56990046296296304</v>
      </c>
      <c r="F7" s="26">
        <f>AVERAGE(B7:E7)</f>
        <v>0.44416481883576431</v>
      </c>
      <c r="G7" s="27">
        <f>F7</f>
        <v>0.44416481883576431</v>
      </c>
    </row>
    <row r="8" spans="1:7" ht="21.75" customHeight="1" x14ac:dyDescent="0.3">
      <c r="A8" s="20" t="s">
        <v>13</v>
      </c>
      <c r="B8" s="21">
        <f>'📅 2026'!F22</f>
        <v>315.44000000000005</v>
      </c>
      <c r="C8" s="21">
        <f>'📅 2027'!N22</f>
        <v>11515.648000000005</v>
      </c>
      <c r="D8" s="21">
        <f>'📅 2028'!N22</f>
        <v>26384.064000000002</v>
      </c>
      <c r="E8" s="21">
        <f>'📅 2029'!N22</f>
        <v>42140.67200000002</v>
      </c>
      <c r="F8" s="18">
        <f>E8</f>
        <v>42140.67200000002</v>
      </c>
      <c r="G8" s="19">
        <f>F8/3</f>
        <v>14046.890666666673</v>
      </c>
    </row>
    <row r="9" spans="1:7" ht="21.75" customHeight="1" x14ac:dyDescent="0.3">
      <c r="A9" s="28" t="s">
        <v>14</v>
      </c>
      <c r="B9" s="29">
        <f>'📅 2026'!F16</f>
        <v>0</v>
      </c>
      <c r="C9" s="29">
        <f>'📅 2027'!N16</f>
        <v>199.99999999999997</v>
      </c>
      <c r="D9" s="29">
        <f>'📅 2028'!N16</f>
        <v>399.99999999999994</v>
      </c>
      <c r="E9" s="29">
        <f>'📅 2029'!N16</f>
        <v>399.99999999999994</v>
      </c>
      <c r="F9" s="18">
        <f>SUM(B9:E9)</f>
        <v>999.99999999999977</v>
      </c>
      <c r="G9" s="19">
        <f>F9/3.33</f>
        <v>300.30030030030025</v>
      </c>
    </row>
    <row r="10" spans="1:7" s="63" customFormat="1" ht="19.5" customHeight="1" x14ac:dyDescent="0.3">
      <c r="A10" s="62"/>
      <c r="B10" s="62"/>
      <c r="C10" s="62"/>
      <c r="D10" s="62"/>
      <c r="E10" s="62"/>
    </row>
    <row r="11" spans="1:7" x14ac:dyDescent="0.3">
      <c r="A11" s="30" t="s">
        <v>15</v>
      </c>
      <c r="B11" s="31"/>
      <c r="C11" s="31"/>
      <c r="D11" s="31"/>
      <c r="E11" s="32"/>
      <c r="F11" s="31"/>
      <c r="G11" s="32"/>
    </row>
    <row r="12" spans="1:7" ht="30" customHeight="1" x14ac:dyDescent="0.3">
      <c r="A12" s="12" t="s">
        <v>16</v>
      </c>
      <c r="B12" s="12"/>
      <c r="C12" s="12"/>
      <c r="D12" s="12"/>
      <c r="E12" s="12"/>
      <c r="F12" s="12"/>
      <c r="G12" s="12"/>
    </row>
    <row r="13" spans="1:7" s="63" customFormat="1" x14ac:dyDescent="0.3"/>
    <row r="14" spans="1:7" s="63" customFormat="1" x14ac:dyDescent="0.3"/>
    <row r="15" spans="1:7" s="63" customFormat="1" x14ac:dyDescent="0.3"/>
    <row r="16" spans="1:7" s="63" customFormat="1" x14ac:dyDescent="0.3"/>
    <row r="17" s="63" customFormat="1" x14ac:dyDescent="0.3"/>
    <row r="18" s="63" customFormat="1" x14ac:dyDescent="0.3"/>
    <row r="19" s="63" customFormat="1" x14ac:dyDescent="0.3"/>
    <row r="20" s="63" customFormat="1" x14ac:dyDescent="0.3"/>
    <row r="21" s="63" customFormat="1" x14ac:dyDescent="0.3"/>
    <row r="22" s="63" customFormat="1" x14ac:dyDescent="0.3"/>
    <row r="23" s="63" customFormat="1" x14ac:dyDescent="0.3"/>
    <row r="24" s="63" customFormat="1" x14ac:dyDescent="0.3"/>
    <row r="25" s="63" customFormat="1" x14ac:dyDescent="0.3"/>
    <row r="26" s="63" customFormat="1" x14ac:dyDescent="0.3"/>
    <row r="27" s="63" customFormat="1" x14ac:dyDescent="0.3"/>
    <row r="28" s="63" customFormat="1" x14ac:dyDescent="0.3"/>
    <row r="29" s="63" customFormat="1" x14ac:dyDescent="0.3"/>
    <row r="30" s="63" customFormat="1" x14ac:dyDescent="0.3"/>
    <row r="31" s="63" customFormat="1" x14ac:dyDescent="0.3"/>
    <row r="32" s="63" customFormat="1" x14ac:dyDescent="0.3"/>
    <row r="33" s="63" customFormat="1" x14ac:dyDescent="0.3"/>
    <row r="34" s="63" customFormat="1" x14ac:dyDescent="0.3"/>
    <row r="35" s="63" customFormat="1" x14ac:dyDescent="0.3"/>
    <row r="36" s="63" customFormat="1" x14ac:dyDescent="0.3"/>
    <row r="37" s="63" customFormat="1" x14ac:dyDescent="0.3"/>
    <row r="38" s="63" customFormat="1" x14ac:dyDescent="0.3"/>
    <row r="39" s="63" customFormat="1" x14ac:dyDescent="0.3"/>
    <row r="40" s="63" customFormat="1" x14ac:dyDescent="0.3"/>
    <row r="41" s="63" customFormat="1" x14ac:dyDescent="0.3"/>
    <row r="42" s="63" customFormat="1" x14ac:dyDescent="0.3"/>
    <row r="43" s="63" customFormat="1" x14ac:dyDescent="0.3"/>
    <row r="44" s="63" customFormat="1" x14ac:dyDescent="0.3"/>
    <row r="45" s="63" customFormat="1" x14ac:dyDescent="0.3"/>
    <row r="46" s="63" customFormat="1" x14ac:dyDescent="0.3"/>
    <row r="47" s="63" customFormat="1" x14ac:dyDescent="0.3"/>
    <row r="48" s="63" customFormat="1" x14ac:dyDescent="0.3"/>
    <row r="49" s="63" customFormat="1" x14ac:dyDescent="0.3"/>
    <row r="50" s="63" customFormat="1" x14ac:dyDescent="0.3"/>
    <row r="51" s="63" customFormat="1" x14ac:dyDescent="0.3"/>
    <row r="52" s="63" customFormat="1" x14ac:dyDescent="0.3"/>
    <row r="53" s="63" customFormat="1" x14ac:dyDescent="0.3"/>
    <row r="54" s="63" customFormat="1" x14ac:dyDescent="0.3"/>
    <row r="55" s="63" customFormat="1" x14ac:dyDescent="0.3"/>
    <row r="56" s="63" customFormat="1" x14ac:dyDescent="0.3"/>
    <row r="57" s="63" customFormat="1" x14ac:dyDescent="0.3"/>
    <row r="58" s="63" customFormat="1" x14ac:dyDescent="0.3"/>
    <row r="59" s="63" customFormat="1" x14ac:dyDescent="0.3"/>
    <row r="60" s="63" customFormat="1" x14ac:dyDescent="0.3"/>
    <row r="61" s="63" customFormat="1" x14ac:dyDescent="0.3"/>
    <row r="62" s="63" customFormat="1" x14ac:dyDescent="0.3"/>
    <row r="63" s="63" customFormat="1" x14ac:dyDescent="0.3"/>
    <row r="64" s="63" customFormat="1" x14ac:dyDescent="0.3"/>
    <row r="65" s="63" customFormat="1" x14ac:dyDescent="0.3"/>
    <row r="66" s="63" customFormat="1" x14ac:dyDescent="0.3"/>
    <row r="67" s="63" customFormat="1" x14ac:dyDescent="0.3"/>
    <row r="68" s="63" customFormat="1" x14ac:dyDescent="0.3"/>
    <row r="69" s="63" customFormat="1" x14ac:dyDescent="0.3"/>
    <row r="70" s="63" customFormat="1" x14ac:dyDescent="0.3"/>
    <row r="71" s="63" customFormat="1" x14ac:dyDescent="0.3"/>
    <row r="72" s="63" customFormat="1" x14ac:dyDescent="0.3"/>
    <row r="73" s="63" customFormat="1" x14ac:dyDescent="0.3"/>
    <row r="74" s="63" customFormat="1" x14ac:dyDescent="0.3"/>
    <row r="75" s="63" customFormat="1" x14ac:dyDescent="0.3"/>
    <row r="76" s="63" customFormat="1" x14ac:dyDescent="0.3"/>
    <row r="77" s="63" customFormat="1" x14ac:dyDescent="0.3"/>
    <row r="78" s="63" customFormat="1" x14ac:dyDescent="0.3"/>
    <row r="79" s="63" customFormat="1" x14ac:dyDescent="0.3"/>
    <row r="80" s="63" customFormat="1" x14ac:dyDescent="0.3"/>
    <row r="81" s="63" customFormat="1" x14ac:dyDescent="0.3"/>
    <row r="82" s="63" customFormat="1" x14ac:dyDescent="0.3"/>
    <row r="83" s="63" customFormat="1" x14ac:dyDescent="0.3"/>
    <row r="84" s="63" customFormat="1" x14ac:dyDescent="0.3"/>
    <row r="85" s="63" customFormat="1" x14ac:dyDescent="0.3"/>
    <row r="86" s="63" customFormat="1" x14ac:dyDescent="0.3"/>
    <row r="87" s="63" customFormat="1" x14ac:dyDescent="0.3"/>
    <row r="88" s="63" customFormat="1" x14ac:dyDescent="0.3"/>
    <row r="89" s="63" customFormat="1" x14ac:dyDescent="0.3"/>
    <row r="90" s="63" customFormat="1" x14ac:dyDescent="0.3"/>
    <row r="91" s="63" customFormat="1" x14ac:dyDescent="0.3"/>
    <row r="92" s="63" customFormat="1" x14ac:dyDescent="0.3"/>
    <row r="93" s="63" customFormat="1" x14ac:dyDescent="0.3"/>
    <row r="94" s="63" customFormat="1" x14ac:dyDescent="0.3"/>
    <row r="95" s="63" customFormat="1" x14ac:dyDescent="0.3"/>
    <row r="96" s="63" customFormat="1" x14ac:dyDescent="0.3"/>
    <row r="97" s="63" customFormat="1" x14ac:dyDescent="0.3"/>
    <row r="98" s="63" customFormat="1" x14ac:dyDescent="0.3"/>
    <row r="99" s="63" customFormat="1" x14ac:dyDescent="0.3"/>
    <row r="100" s="63" customFormat="1" x14ac:dyDescent="0.3"/>
    <row r="101" s="63" customFormat="1" x14ac:dyDescent="0.3"/>
    <row r="102" s="63" customFormat="1" x14ac:dyDescent="0.3"/>
    <row r="103" s="63" customFormat="1" x14ac:dyDescent="0.3"/>
    <row r="104" s="63" customFormat="1" x14ac:dyDescent="0.3"/>
    <row r="105" s="63" customFormat="1" x14ac:dyDescent="0.3"/>
    <row r="106" s="63" customFormat="1" x14ac:dyDescent="0.3"/>
    <row r="107" s="63" customFormat="1" x14ac:dyDescent="0.3"/>
    <row r="108" s="63" customFormat="1" x14ac:dyDescent="0.3"/>
    <row r="109" s="63" customFormat="1" x14ac:dyDescent="0.3"/>
    <row r="110" s="63" customFormat="1" x14ac:dyDescent="0.3"/>
    <row r="111" s="63" customFormat="1" x14ac:dyDescent="0.3"/>
    <row r="112" s="63" customFormat="1" x14ac:dyDescent="0.3"/>
    <row r="113" s="63" customFormat="1" x14ac:dyDescent="0.3"/>
    <row r="114" s="63" customFormat="1" x14ac:dyDescent="0.3"/>
    <row r="115" s="63" customFormat="1" x14ac:dyDescent="0.3"/>
    <row r="116" s="63" customFormat="1" x14ac:dyDescent="0.3"/>
    <row r="117" s="63" customFormat="1" x14ac:dyDescent="0.3"/>
    <row r="118" s="63" customFormat="1" x14ac:dyDescent="0.3"/>
    <row r="119" s="63" customFormat="1" x14ac:dyDescent="0.3"/>
    <row r="120" s="63" customFormat="1" x14ac:dyDescent="0.3"/>
    <row r="121" s="63" customFormat="1" x14ac:dyDescent="0.3"/>
    <row r="122" s="63" customFormat="1" x14ac:dyDescent="0.3"/>
    <row r="123" s="63" customFormat="1" x14ac:dyDescent="0.3"/>
    <row r="124" s="63" customFormat="1" x14ac:dyDescent="0.3"/>
    <row r="125" s="63" customFormat="1" x14ac:dyDescent="0.3"/>
    <row r="126" s="63" customFormat="1" x14ac:dyDescent="0.3"/>
    <row r="127" s="63" customFormat="1" x14ac:dyDescent="0.3"/>
    <row r="128" s="63" customFormat="1" x14ac:dyDescent="0.3"/>
    <row r="129" s="63" customFormat="1" x14ac:dyDescent="0.3"/>
    <row r="130" s="63" customFormat="1" x14ac:dyDescent="0.3"/>
    <row r="131" s="63" customFormat="1" x14ac:dyDescent="0.3"/>
    <row r="132" s="63" customFormat="1" x14ac:dyDescent="0.3"/>
    <row r="133" s="63" customFormat="1" x14ac:dyDescent="0.3"/>
    <row r="134" s="63" customFormat="1" x14ac:dyDescent="0.3"/>
    <row r="135" s="63" customFormat="1" x14ac:dyDescent="0.3"/>
    <row r="136" s="63" customFormat="1" x14ac:dyDescent="0.3"/>
    <row r="137" s="63" customFormat="1" x14ac:dyDescent="0.3"/>
    <row r="138" s="63" customFormat="1" x14ac:dyDescent="0.3"/>
    <row r="139" s="63" customFormat="1" x14ac:dyDescent="0.3"/>
    <row r="140" s="63" customFormat="1" x14ac:dyDescent="0.3"/>
    <row r="141" s="63" customFormat="1" x14ac:dyDescent="0.3"/>
    <row r="142" s="63" customFormat="1" x14ac:dyDescent="0.3"/>
    <row r="143" s="63" customFormat="1" x14ac:dyDescent="0.3"/>
    <row r="144" s="63" customFormat="1" x14ac:dyDescent="0.3"/>
    <row r="145" s="63" customFormat="1" x14ac:dyDescent="0.3"/>
    <row r="146" s="63" customFormat="1" x14ac:dyDescent="0.3"/>
    <row r="147" s="63" customFormat="1" x14ac:dyDescent="0.3"/>
    <row r="148" s="63" customFormat="1" x14ac:dyDescent="0.3"/>
    <row r="149" s="63" customFormat="1" x14ac:dyDescent="0.3"/>
    <row r="150" s="63" customFormat="1" x14ac:dyDescent="0.3"/>
    <row r="151" s="63" customFormat="1" x14ac:dyDescent="0.3"/>
    <row r="152" s="63" customFormat="1" x14ac:dyDescent="0.3"/>
    <row r="153" s="63" customFormat="1" x14ac:dyDescent="0.3"/>
    <row r="154" s="63" customFormat="1" x14ac:dyDescent="0.3"/>
    <row r="155" s="63" customFormat="1" x14ac:dyDescent="0.3"/>
    <row r="156" s="63" customFormat="1" x14ac:dyDescent="0.3"/>
    <row r="157" s="63" customFormat="1" x14ac:dyDescent="0.3"/>
    <row r="158" s="63" customFormat="1" x14ac:dyDescent="0.3"/>
    <row r="159" s="63" customFormat="1" x14ac:dyDescent="0.3"/>
    <row r="160" s="63" customFormat="1" x14ac:dyDescent="0.3"/>
    <row r="161" s="63" customFormat="1" x14ac:dyDescent="0.3"/>
    <row r="162" s="63" customFormat="1" x14ac:dyDescent="0.3"/>
    <row r="163" s="63" customFormat="1" x14ac:dyDescent="0.3"/>
    <row r="164" s="63" customFormat="1" x14ac:dyDescent="0.3"/>
    <row r="165" s="63" customFormat="1" x14ac:dyDescent="0.3"/>
    <row r="166" s="63" customFormat="1" x14ac:dyDescent="0.3"/>
    <row r="167" s="63" customFormat="1" x14ac:dyDescent="0.3"/>
    <row r="168" s="63" customFormat="1" x14ac:dyDescent="0.3"/>
    <row r="169" s="63" customFormat="1" x14ac:dyDescent="0.3"/>
    <row r="170" s="63" customFormat="1" x14ac:dyDescent="0.3"/>
    <row r="171" s="63" customFormat="1" x14ac:dyDescent="0.3"/>
    <row r="172" s="63" customFormat="1" x14ac:dyDescent="0.3"/>
    <row r="173" s="63" customFormat="1" x14ac:dyDescent="0.3"/>
    <row r="174" s="63" customFormat="1" x14ac:dyDescent="0.3"/>
    <row r="175" s="63" customFormat="1" x14ac:dyDescent="0.3"/>
    <row r="176" s="63" customFormat="1" x14ac:dyDescent="0.3"/>
    <row r="177" s="63" customFormat="1" x14ac:dyDescent="0.3"/>
    <row r="178" s="63" customFormat="1" x14ac:dyDescent="0.3"/>
    <row r="179" s="63" customFormat="1" x14ac:dyDescent="0.3"/>
    <row r="180" s="63" customFormat="1" x14ac:dyDescent="0.3"/>
    <row r="181" s="63" customFormat="1" x14ac:dyDescent="0.3"/>
    <row r="182" s="63" customFormat="1" x14ac:dyDescent="0.3"/>
    <row r="183" s="63" customFormat="1" x14ac:dyDescent="0.3"/>
    <row r="184" s="63" customFormat="1" x14ac:dyDescent="0.3"/>
    <row r="185" s="63" customFormat="1" x14ac:dyDescent="0.3"/>
    <row r="186" s="63" customFormat="1" x14ac:dyDescent="0.3"/>
    <row r="187" s="63" customFormat="1" x14ac:dyDescent="0.3"/>
    <row r="188" s="63" customFormat="1" x14ac:dyDescent="0.3"/>
    <row r="189" s="63" customFormat="1" x14ac:dyDescent="0.3"/>
    <row r="190" s="63" customFormat="1" x14ac:dyDescent="0.3"/>
    <row r="191" s="63" customFormat="1" x14ac:dyDescent="0.3"/>
    <row r="192" s="63" customFormat="1" x14ac:dyDescent="0.3"/>
    <row r="193" s="63" customFormat="1" x14ac:dyDescent="0.3"/>
    <row r="194" s="63" customFormat="1" x14ac:dyDescent="0.3"/>
    <row r="195" s="63" customFormat="1" x14ac:dyDescent="0.3"/>
    <row r="196" s="63" customFormat="1" x14ac:dyDescent="0.3"/>
    <row r="197" s="63" customFormat="1" x14ac:dyDescent="0.3"/>
    <row r="198" s="63" customFormat="1" x14ac:dyDescent="0.3"/>
    <row r="199" s="63" customFormat="1" x14ac:dyDescent="0.3"/>
    <row r="200" s="63" customFormat="1" x14ac:dyDescent="0.3"/>
    <row r="201" s="63" customFormat="1" x14ac:dyDescent="0.3"/>
    <row r="202" s="63" customFormat="1" x14ac:dyDescent="0.3"/>
  </sheetData>
  <mergeCells count="3">
    <mergeCell ref="A1:G1"/>
    <mergeCell ref="A10:E10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8060"/>
  </sheetPr>
  <dimension ref="A1:AE270"/>
  <sheetViews>
    <sheetView zoomScaleNormal="100" workbookViewId="0">
      <selection activeCell="A43" sqref="A43:XFD270"/>
    </sheetView>
  </sheetViews>
  <sheetFormatPr baseColWidth="10" defaultColWidth="8.6640625" defaultRowHeight="14.4" x14ac:dyDescent="0.3"/>
  <cols>
    <col min="1" max="1" width="38" customWidth="1"/>
    <col min="2" max="2" width="18" customWidth="1"/>
    <col min="3" max="3" width="32" customWidth="1"/>
    <col min="4" max="31" width="8.6640625" style="63"/>
  </cols>
  <sheetData>
    <row r="1" spans="1:3" ht="39.75" customHeight="1" x14ac:dyDescent="0.3">
      <c r="A1" s="11" t="s">
        <v>17</v>
      </c>
      <c r="B1" s="11"/>
      <c r="C1" s="11"/>
    </row>
    <row r="2" spans="1:3" ht="27.75" customHeight="1" x14ac:dyDescent="0.3">
      <c r="A2" s="10" t="s">
        <v>18</v>
      </c>
      <c r="B2" s="10"/>
      <c r="C2" s="10"/>
    </row>
    <row r="3" spans="1:3" ht="24" customHeight="1" x14ac:dyDescent="0.3">
      <c r="A3" s="9" t="s">
        <v>19</v>
      </c>
      <c r="B3" s="9"/>
      <c r="C3" s="9"/>
    </row>
    <row r="4" spans="1:3" ht="18" customHeight="1" x14ac:dyDescent="0.3">
      <c r="A4" s="8" t="s">
        <v>20</v>
      </c>
      <c r="B4" s="8"/>
      <c r="C4" s="8"/>
    </row>
    <row r="5" spans="1:3" ht="21.75" customHeight="1" x14ac:dyDescent="0.3">
      <c r="A5" s="7" t="s">
        <v>21</v>
      </c>
      <c r="B5" s="7"/>
      <c r="C5" s="7"/>
    </row>
    <row r="6" spans="1:3" ht="19.5" customHeight="1" x14ac:dyDescent="0.3">
      <c r="A6" s="16" t="s">
        <v>22</v>
      </c>
      <c r="B6" s="33">
        <v>45</v>
      </c>
      <c r="C6" s="34" t="s">
        <v>23</v>
      </c>
    </row>
    <row r="7" spans="1:3" ht="19.5" customHeight="1" x14ac:dyDescent="0.3">
      <c r="A7" s="16" t="s">
        <v>24</v>
      </c>
      <c r="B7" s="33">
        <v>40</v>
      </c>
      <c r="C7" s="34" t="s">
        <v>23</v>
      </c>
    </row>
    <row r="8" spans="1:3" ht="19.5" customHeight="1" x14ac:dyDescent="0.3">
      <c r="A8" s="16" t="s">
        <v>25</v>
      </c>
      <c r="B8" s="33">
        <v>35</v>
      </c>
      <c r="C8" s="34" t="s">
        <v>23</v>
      </c>
    </row>
    <row r="9" spans="1:3" ht="19.5" customHeight="1" x14ac:dyDescent="0.3">
      <c r="A9" s="16" t="s">
        <v>26</v>
      </c>
      <c r="B9" s="33">
        <v>25</v>
      </c>
      <c r="C9" s="34" t="s">
        <v>27</v>
      </c>
    </row>
    <row r="10" spans="1:3" ht="19.5" customHeight="1" x14ac:dyDescent="0.3">
      <c r="A10" s="16" t="s">
        <v>28</v>
      </c>
      <c r="B10" s="33">
        <v>6</v>
      </c>
      <c r="C10" s="34" t="s">
        <v>29</v>
      </c>
    </row>
    <row r="11" spans="1:3" ht="19.5" customHeight="1" x14ac:dyDescent="0.3">
      <c r="A11" s="16" t="s">
        <v>30</v>
      </c>
      <c r="B11" s="35">
        <v>0.75</v>
      </c>
      <c r="C11" s="34"/>
    </row>
    <row r="12" spans="1:3" ht="19.5" customHeight="1" x14ac:dyDescent="0.3">
      <c r="A12" s="16" t="s">
        <v>31</v>
      </c>
      <c r="B12" s="35">
        <v>0.25</v>
      </c>
      <c r="C12" s="34"/>
    </row>
    <row r="13" spans="1:3" ht="21.75" customHeight="1" x14ac:dyDescent="0.3">
      <c r="A13" s="7" t="s">
        <v>32</v>
      </c>
      <c r="B13" s="7"/>
      <c r="C13" s="7"/>
    </row>
    <row r="14" spans="1:3" ht="19.5" customHeight="1" x14ac:dyDescent="0.3">
      <c r="A14" s="16" t="s">
        <v>33</v>
      </c>
      <c r="B14" s="33">
        <v>2</v>
      </c>
      <c r="C14" s="34" t="s">
        <v>34</v>
      </c>
    </row>
    <row r="15" spans="1:3" ht="19.5" customHeight="1" x14ac:dyDescent="0.3">
      <c r="A15" s="16" t="s">
        <v>35</v>
      </c>
      <c r="B15" s="33">
        <v>4</v>
      </c>
      <c r="C15" s="34" t="s">
        <v>36</v>
      </c>
    </row>
    <row r="16" spans="1:3" ht="19.5" customHeight="1" x14ac:dyDescent="0.3">
      <c r="A16" s="16" t="s">
        <v>37</v>
      </c>
      <c r="B16" s="33">
        <v>5</v>
      </c>
      <c r="C16" s="34" t="s">
        <v>38</v>
      </c>
    </row>
    <row r="17" spans="1:3" ht="19.5" customHeight="1" x14ac:dyDescent="0.3">
      <c r="A17" s="16" t="s">
        <v>39</v>
      </c>
      <c r="B17" s="35">
        <v>0.5</v>
      </c>
      <c r="C17" s="34" t="s">
        <v>40</v>
      </c>
    </row>
    <row r="18" spans="1:3" ht="19.5" customHeight="1" x14ac:dyDescent="0.3">
      <c r="A18" s="16" t="s">
        <v>41</v>
      </c>
      <c r="B18" s="35">
        <v>0.8</v>
      </c>
      <c r="C18" s="34" t="s">
        <v>42</v>
      </c>
    </row>
    <row r="19" spans="1:3" ht="21.75" customHeight="1" x14ac:dyDescent="0.3">
      <c r="A19" s="7" t="s">
        <v>43</v>
      </c>
      <c r="B19" s="7"/>
      <c r="C19" s="7"/>
    </row>
    <row r="20" spans="1:3" ht="19.5" customHeight="1" x14ac:dyDescent="0.3">
      <c r="A20" s="16" t="s">
        <v>44</v>
      </c>
      <c r="B20" s="33">
        <v>200</v>
      </c>
      <c r="C20" s="34" t="s">
        <v>45</v>
      </c>
    </row>
    <row r="21" spans="1:3" ht="19.5" customHeight="1" x14ac:dyDescent="0.3">
      <c r="A21" s="16" t="s">
        <v>46</v>
      </c>
      <c r="B21" s="33">
        <v>150</v>
      </c>
      <c r="C21" s="34" t="s">
        <v>47</v>
      </c>
    </row>
    <row r="22" spans="1:3" ht="19.5" customHeight="1" x14ac:dyDescent="0.3">
      <c r="A22" s="16" t="s">
        <v>48</v>
      </c>
      <c r="B22" s="33">
        <v>30</v>
      </c>
      <c r="C22" s="34" t="s">
        <v>49</v>
      </c>
    </row>
    <row r="23" spans="1:3" ht="19.5" customHeight="1" x14ac:dyDescent="0.3">
      <c r="A23" s="16" t="s">
        <v>50</v>
      </c>
      <c r="B23" s="33">
        <v>50</v>
      </c>
      <c r="C23" s="34" t="s">
        <v>51</v>
      </c>
    </row>
    <row r="24" spans="1:3" ht="19.5" customHeight="1" x14ac:dyDescent="0.3">
      <c r="A24" s="16" t="s">
        <v>52</v>
      </c>
      <c r="B24" s="36">
        <v>0.21199999999999999</v>
      </c>
      <c r="C24" s="34" t="s">
        <v>53</v>
      </c>
    </row>
    <row r="25" spans="1:3" ht="21.75" customHeight="1" x14ac:dyDescent="0.3">
      <c r="A25" s="7" t="s">
        <v>54</v>
      </c>
      <c r="B25" s="7"/>
      <c r="C25" s="7"/>
    </row>
    <row r="26" spans="1:3" ht="19.5" customHeight="1" x14ac:dyDescent="0.3">
      <c r="A26" s="16" t="s">
        <v>55</v>
      </c>
      <c r="B26" s="35">
        <v>0.1</v>
      </c>
      <c r="C26" s="34" t="s">
        <v>56</v>
      </c>
    </row>
    <row r="27" spans="1:3" ht="19.5" customHeight="1" x14ac:dyDescent="0.3">
      <c r="A27" s="16" t="s">
        <v>57</v>
      </c>
      <c r="B27" s="35">
        <v>0.03</v>
      </c>
      <c r="C27" s="34" t="s">
        <v>58</v>
      </c>
    </row>
    <row r="28" spans="1:3" ht="19.5" customHeight="1" x14ac:dyDescent="0.3">
      <c r="A28" s="16" t="s">
        <v>59</v>
      </c>
      <c r="B28" s="35">
        <v>0.02</v>
      </c>
      <c r="C28" s="34" t="s">
        <v>60</v>
      </c>
    </row>
    <row r="29" spans="1:3" ht="19.5" customHeight="1" x14ac:dyDescent="0.3">
      <c r="A29" s="16" t="s">
        <v>61</v>
      </c>
      <c r="B29" s="33">
        <v>40</v>
      </c>
      <c r="C29" s="34" t="s">
        <v>62</v>
      </c>
    </row>
    <row r="30" spans="1:3" ht="19.5" customHeight="1" x14ac:dyDescent="0.3">
      <c r="A30" s="6" t="s">
        <v>63</v>
      </c>
      <c r="B30" s="6"/>
      <c r="C30" s="6"/>
    </row>
    <row r="31" spans="1:3" ht="21.75" customHeight="1" x14ac:dyDescent="0.3">
      <c r="A31" s="7" t="s">
        <v>64</v>
      </c>
      <c r="B31" s="7"/>
      <c r="C31" s="7"/>
    </row>
    <row r="32" spans="1:3" ht="19.5" customHeight="1" x14ac:dyDescent="0.3">
      <c r="A32" s="16" t="s">
        <v>65</v>
      </c>
      <c r="B32" s="37">
        <v>37500</v>
      </c>
      <c r="C32" s="34" t="s">
        <v>66</v>
      </c>
    </row>
    <row r="33" spans="1:3" ht="19.5" customHeight="1" x14ac:dyDescent="0.3">
      <c r="A33" s="16" t="s">
        <v>67</v>
      </c>
      <c r="B33" s="37">
        <v>41250</v>
      </c>
      <c r="C33" s="34" t="s">
        <v>68</v>
      </c>
    </row>
    <row r="34" spans="1:3" ht="19.5" customHeight="1" x14ac:dyDescent="0.3">
      <c r="A34" s="16" t="s">
        <v>69</v>
      </c>
      <c r="B34" s="37" t="s">
        <v>70</v>
      </c>
      <c r="C34" s="34" t="s">
        <v>71</v>
      </c>
    </row>
    <row r="35" spans="1:3" ht="19.5" customHeight="1" x14ac:dyDescent="0.3">
      <c r="A35" s="16" t="s">
        <v>72</v>
      </c>
      <c r="B35" s="35">
        <v>1.7000000000000001E-2</v>
      </c>
      <c r="C35" s="34" t="s">
        <v>73</v>
      </c>
    </row>
    <row r="36" spans="1:3" ht="19.5" customHeight="1" x14ac:dyDescent="0.3">
      <c r="A36" s="16" t="s">
        <v>74</v>
      </c>
      <c r="B36" s="37">
        <v>400</v>
      </c>
      <c r="C36" s="34" t="s">
        <v>75</v>
      </c>
    </row>
    <row r="37" spans="1:3" ht="19.5" customHeight="1" x14ac:dyDescent="0.3">
      <c r="A37" s="16" t="s">
        <v>76</v>
      </c>
      <c r="B37" s="38">
        <v>0</v>
      </c>
      <c r="C37" s="34" t="s">
        <v>77</v>
      </c>
    </row>
    <row r="38" spans="1:3" ht="19.5" customHeight="1" x14ac:dyDescent="0.3">
      <c r="A38" s="16" t="s">
        <v>78</v>
      </c>
      <c r="B38" s="35">
        <v>0.5</v>
      </c>
      <c r="C38" s="34" t="s">
        <v>79</v>
      </c>
    </row>
    <row r="39" spans="1:3" ht="19.5" customHeight="1" x14ac:dyDescent="0.3">
      <c r="A39" s="16" t="s">
        <v>80</v>
      </c>
      <c r="B39" s="35">
        <v>1</v>
      </c>
      <c r="C39" s="34" t="s">
        <v>81</v>
      </c>
    </row>
    <row r="40" spans="1:3" ht="39.75" customHeight="1" x14ac:dyDescent="0.3">
      <c r="A40" s="5" t="s">
        <v>82</v>
      </c>
      <c r="B40" s="5"/>
      <c r="C40" s="5"/>
    </row>
    <row r="41" spans="1:3" ht="39.75" customHeight="1" x14ac:dyDescent="0.3">
      <c r="A41" s="5" t="s">
        <v>83</v>
      </c>
      <c r="B41" s="5"/>
      <c r="C41" s="5"/>
    </row>
    <row r="42" spans="1:3" ht="39.75" customHeight="1" x14ac:dyDescent="0.3">
      <c r="A42" s="5" t="s">
        <v>84</v>
      </c>
      <c r="B42" s="5"/>
      <c r="C42" s="5"/>
    </row>
    <row r="43" spans="1:3" s="63" customFormat="1" x14ac:dyDescent="0.3"/>
    <row r="44" spans="1:3" s="63" customFormat="1" x14ac:dyDescent="0.3"/>
    <row r="45" spans="1:3" s="63" customFormat="1" x14ac:dyDescent="0.3"/>
    <row r="46" spans="1:3" s="63" customFormat="1" x14ac:dyDescent="0.3"/>
    <row r="47" spans="1:3" s="63" customFormat="1" x14ac:dyDescent="0.3"/>
    <row r="48" spans="1:3" s="63" customFormat="1" x14ac:dyDescent="0.3"/>
    <row r="49" s="63" customFormat="1" x14ac:dyDescent="0.3"/>
    <row r="50" s="63" customFormat="1" x14ac:dyDescent="0.3"/>
    <row r="51" s="63" customFormat="1" x14ac:dyDescent="0.3"/>
    <row r="52" s="63" customFormat="1" x14ac:dyDescent="0.3"/>
    <row r="53" s="63" customFormat="1" x14ac:dyDescent="0.3"/>
    <row r="54" s="63" customFormat="1" x14ac:dyDescent="0.3"/>
    <row r="55" s="63" customFormat="1" x14ac:dyDescent="0.3"/>
    <row r="56" s="63" customFormat="1" x14ac:dyDescent="0.3"/>
    <row r="57" s="63" customFormat="1" x14ac:dyDescent="0.3"/>
    <row r="58" s="63" customFormat="1" x14ac:dyDescent="0.3"/>
    <row r="59" s="63" customFormat="1" x14ac:dyDescent="0.3"/>
    <row r="60" s="63" customFormat="1" x14ac:dyDescent="0.3"/>
    <row r="61" s="63" customFormat="1" x14ac:dyDescent="0.3"/>
    <row r="62" s="63" customFormat="1" x14ac:dyDescent="0.3"/>
    <row r="63" s="63" customFormat="1" x14ac:dyDescent="0.3"/>
    <row r="64" s="63" customFormat="1" x14ac:dyDescent="0.3"/>
    <row r="65" s="63" customFormat="1" x14ac:dyDescent="0.3"/>
    <row r="66" s="63" customFormat="1" x14ac:dyDescent="0.3"/>
    <row r="67" s="63" customFormat="1" x14ac:dyDescent="0.3"/>
    <row r="68" s="63" customFormat="1" x14ac:dyDescent="0.3"/>
    <row r="69" s="63" customFormat="1" x14ac:dyDescent="0.3"/>
    <row r="70" s="63" customFormat="1" x14ac:dyDescent="0.3"/>
    <row r="71" s="63" customFormat="1" x14ac:dyDescent="0.3"/>
    <row r="72" s="63" customFormat="1" x14ac:dyDescent="0.3"/>
    <row r="73" s="63" customFormat="1" x14ac:dyDescent="0.3"/>
    <row r="74" s="63" customFormat="1" x14ac:dyDescent="0.3"/>
    <row r="75" s="63" customFormat="1" x14ac:dyDescent="0.3"/>
    <row r="76" s="63" customFormat="1" x14ac:dyDescent="0.3"/>
    <row r="77" s="63" customFormat="1" x14ac:dyDescent="0.3"/>
    <row r="78" s="63" customFormat="1" x14ac:dyDescent="0.3"/>
    <row r="79" s="63" customFormat="1" x14ac:dyDescent="0.3"/>
    <row r="80" s="63" customFormat="1" x14ac:dyDescent="0.3"/>
    <row r="81" s="63" customFormat="1" x14ac:dyDescent="0.3"/>
    <row r="82" s="63" customFormat="1" x14ac:dyDescent="0.3"/>
    <row r="83" s="63" customFormat="1" x14ac:dyDescent="0.3"/>
    <row r="84" s="63" customFormat="1" x14ac:dyDescent="0.3"/>
    <row r="85" s="63" customFormat="1" x14ac:dyDescent="0.3"/>
    <row r="86" s="63" customFormat="1" x14ac:dyDescent="0.3"/>
    <row r="87" s="63" customFormat="1" x14ac:dyDescent="0.3"/>
    <row r="88" s="63" customFormat="1" x14ac:dyDescent="0.3"/>
    <row r="89" s="63" customFormat="1" x14ac:dyDescent="0.3"/>
    <row r="90" s="63" customFormat="1" x14ac:dyDescent="0.3"/>
    <row r="91" s="63" customFormat="1" x14ac:dyDescent="0.3"/>
    <row r="92" s="63" customFormat="1" x14ac:dyDescent="0.3"/>
    <row r="93" s="63" customFormat="1" x14ac:dyDescent="0.3"/>
    <row r="94" s="63" customFormat="1" x14ac:dyDescent="0.3"/>
    <row r="95" s="63" customFormat="1" x14ac:dyDescent="0.3"/>
    <row r="96" s="63" customFormat="1" x14ac:dyDescent="0.3"/>
    <row r="97" s="63" customFormat="1" x14ac:dyDescent="0.3"/>
    <row r="98" s="63" customFormat="1" x14ac:dyDescent="0.3"/>
    <row r="99" s="63" customFormat="1" x14ac:dyDescent="0.3"/>
    <row r="100" s="63" customFormat="1" x14ac:dyDescent="0.3"/>
    <row r="101" s="63" customFormat="1" x14ac:dyDescent="0.3"/>
    <row r="102" s="63" customFormat="1" x14ac:dyDescent="0.3"/>
    <row r="103" s="63" customFormat="1" x14ac:dyDescent="0.3"/>
    <row r="104" s="63" customFormat="1" x14ac:dyDescent="0.3"/>
    <row r="105" s="63" customFormat="1" x14ac:dyDescent="0.3"/>
    <row r="106" s="63" customFormat="1" x14ac:dyDescent="0.3"/>
    <row r="107" s="63" customFormat="1" x14ac:dyDescent="0.3"/>
    <row r="108" s="63" customFormat="1" x14ac:dyDescent="0.3"/>
    <row r="109" s="63" customFormat="1" x14ac:dyDescent="0.3"/>
    <row r="110" s="63" customFormat="1" x14ac:dyDescent="0.3"/>
    <row r="111" s="63" customFormat="1" x14ac:dyDescent="0.3"/>
    <row r="112" s="63" customFormat="1" x14ac:dyDescent="0.3"/>
    <row r="113" s="63" customFormat="1" x14ac:dyDescent="0.3"/>
    <row r="114" s="63" customFormat="1" x14ac:dyDescent="0.3"/>
    <row r="115" s="63" customFormat="1" x14ac:dyDescent="0.3"/>
    <row r="116" s="63" customFormat="1" x14ac:dyDescent="0.3"/>
    <row r="117" s="63" customFormat="1" x14ac:dyDescent="0.3"/>
    <row r="118" s="63" customFormat="1" x14ac:dyDescent="0.3"/>
    <row r="119" s="63" customFormat="1" x14ac:dyDescent="0.3"/>
    <row r="120" s="63" customFormat="1" x14ac:dyDescent="0.3"/>
    <row r="121" s="63" customFormat="1" x14ac:dyDescent="0.3"/>
    <row r="122" s="63" customFormat="1" x14ac:dyDescent="0.3"/>
    <row r="123" s="63" customFormat="1" x14ac:dyDescent="0.3"/>
    <row r="124" s="63" customFormat="1" x14ac:dyDescent="0.3"/>
    <row r="125" s="63" customFormat="1" x14ac:dyDescent="0.3"/>
    <row r="126" s="63" customFormat="1" x14ac:dyDescent="0.3"/>
    <row r="127" s="63" customFormat="1" x14ac:dyDescent="0.3"/>
    <row r="128" s="63" customFormat="1" x14ac:dyDescent="0.3"/>
    <row r="129" s="63" customFormat="1" x14ac:dyDescent="0.3"/>
    <row r="130" s="63" customFormat="1" x14ac:dyDescent="0.3"/>
    <row r="131" s="63" customFormat="1" x14ac:dyDescent="0.3"/>
    <row r="132" s="63" customFormat="1" x14ac:dyDescent="0.3"/>
    <row r="133" s="63" customFormat="1" x14ac:dyDescent="0.3"/>
    <row r="134" s="63" customFormat="1" x14ac:dyDescent="0.3"/>
    <row r="135" s="63" customFormat="1" x14ac:dyDescent="0.3"/>
    <row r="136" s="63" customFormat="1" x14ac:dyDescent="0.3"/>
    <row r="137" s="63" customFormat="1" x14ac:dyDescent="0.3"/>
    <row r="138" s="63" customFormat="1" x14ac:dyDescent="0.3"/>
    <row r="139" s="63" customFormat="1" x14ac:dyDescent="0.3"/>
    <row r="140" s="63" customFormat="1" x14ac:dyDescent="0.3"/>
    <row r="141" s="63" customFormat="1" x14ac:dyDescent="0.3"/>
    <row r="142" s="63" customFormat="1" x14ac:dyDescent="0.3"/>
    <row r="143" s="63" customFormat="1" x14ac:dyDescent="0.3"/>
    <row r="144" s="63" customFormat="1" x14ac:dyDescent="0.3"/>
    <row r="145" s="63" customFormat="1" x14ac:dyDescent="0.3"/>
    <row r="146" s="63" customFormat="1" x14ac:dyDescent="0.3"/>
    <row r="147" s="63" customFormat="1" x14ac:dyDescent="0.3"/>
    <row r="148" s="63" customFormat="1" x14ac:dyDescent="0.3"/>
    <row r="149" s="63" customFormat="1" x14ac:dyDescent="0.3"/>
    <row r="150" s="63" customFormat="1" x14ac:dyDescent="0.3"/>
    <row r="151" s="63" customFormat="1" x14ac:dyDescent="0.3"/>
    <row r="152" s="63" customFormat="1" x14ac:dyDescent="0.3"/>
    <row r="153" s="63" customFormat="1" x14ac:dyDescent="0.3"/>
    <row r="154" s="63" customFormat="1" x14ac:dyDescent="0.3"/>
    <row r="155" s="63" customFormat="1" x14ac:dyDescent="0.3"/>
    <row r="156" s="63" customFormat="1" x14ac:dyDescent="0.3"/>
    <row r="157" s="63" customFormat="1" x14ac:dyDescent="0.3"/>
    <row r="158" s="63" customFormat="1" x14ac:dyDescent="0.3"/>
    <row r="159" s="63" customFormat="1" x14ac:dyDescent="0.3"/>
    <row r="160" s="63" customFormat="1" x14ac:dyDescent="0.3"/>
    <row r="161" s="63" customFormat="1" x14ac:dyDescent="0.3"/>
    <row r="162" s="63" customFormat="1" x14ac:dyDescent="0.3"/>
    <row r="163" s="63" customFormat="1" x14ac:dyDescent="0.3"/>
    <row r="164" s="63" customFormat="1" x14ac:dyDescent="0.3"/>
    <row r="165" s="63" customFormat="1" x14ac:dyDescent="0.3"/>
    <row r="166" s="63" customFormat="1" x14ac:dyDescent="0.3"/>
    <row r="167" s="63" customFormat="1" x14ac:dyDescent="0.3"/>
    <row r="168" s="63" customFormat="1" x14ac:dyDescent="0.3"/>
    <row r="169" s="63" customFormat="1" x14ac:dyDescent="0.3"/>
    <row r="170" s="63" customFormat="1" x14ac:dyDescent="0.3"/>
    <row r="171" s="63" customFormat="1" x14ac:dyDescent="0.3"/>
    <row r="172" s="63" customFormat="1" x14ac:dyDescent="0.3"/>
    <row r="173" s="63" customFormat="1" x14ac:dyDescent="0.3"/>
    <row r="174" s="63" customFormat="1" x14ac:dyDescent="0.3"/>
    <row r="175" s="63" customFormat="1" x14ac:dyDescent="0.3"/>
    <row r="176" s="63" customFormat="1" x14ac:dyDescent="0.3"/>
    <row r="177" s="63" customFormat="1" x14ac:dyDescent="0.3"/>
    <row r="178" s="63" customFormat="1" x14ac:dyDescent="0.3"/>
    <row r="179" s="63" customFormat="1" x14ac:dyDescent="0.3"/>
    <row r="180" s="63" customFormat="1" x14ac:dyDescent="0.3"/>
    <row r="181" s="63" customFormat="1" x14ac:dyDescent="0.3"/>
    <row r="182" s="63" customFormat="1" x14ac:dyDescent="0.3"/>
    <row r="183" s="63" customFormat="1" x14ac:dyDescent="0.3"/>
    <row r="184" s="63" customFormat="1" x14ac:dyDescent="0.3"/>
    <row r="185" s="63" customFormat="1" x14ac:dyDescent="0.3"/>
    <row r="186" s="63" customFormat="1" x14ac:dyDescent="0.3"/>
    <row r="187" s="63" customFormat="1" x14ac:dyDescent="0.3"/>
    <row r="188" s="63" customFormat="1" x14ac:dyDescent="0.3"/>
    <row r="189" s="63" customFormat="1" x14ac:dyDescent="0.3"/>
    <row r="190" s="63" customFormat="1" x14ac:dyDescent="0.3"/>
    <row r="191" s="63" customFormat="1" x14ac:dyDescent="0.3"/>
    <row r="192" s="63" customFormat="1" x14ac:dyDescent="0.3"/>
    <row r="193" s="63" customFormat="1" x14ac:dyDescent="0.3"/>
    <row r="194" s="63" customFormat="1" x14ac:dyDescent="0.3"/>
    <row r="195" s="63" customFormat="1" x14ac:dyDescent="0.3"/>
    <row r="196" s="63" customFormat="1" x14ac:dyDescent="0.3"/>
    <row r="197" s="63" customFormat="1" x14ac:dyDescent="0.3"/>
    <row r="198" s="63" customFormat="1" x14ac:dyDescent="0.3"/>
    <row r="199" s="63" customFormat="1" x14ac:dyDescent="0.3"/>
    <row r="200" s="63" customFormat="1" x14ac:dyDescent="0.3"/>
    <row r="201" s="63" customFormat="1" x14ac:dyDescent="0.3"/>
    <row r="202" s="63" customFormat="1" x14ac:dyDescent="0.3"/>
    <row r="203" s="63" customFormat="1" x14ac:dyDescent="0.3"/>
    <row r="204" s="63" customFormat="1" x14ac:dyDescent="0.3"/>
    <row r="205" s="63" customFormat="1" x14ac:dyDescent="0.3"/>
    <row r="206" s="63" customFormat="1" x14ac:dyDescent="0.3"/>
    <row r="207" s="63" customFormat="1" x14ac:dyDescent="0.3"/>
    <row r="208" s="63" customFormat="1" x14ac:dyDescent="0.3"/>
    <row r="209" s="63" customFormat="1" x14ac:dyDescent="0.3"/>
    <row r="210" s="63" customFormat="1" x14ac:dyDescent="0.3"/>
    <row r="211" s="63" customFormat="1" x14ac:dyDescent="0.3"/>
    <row r="212" s="63" customFormat="1" x14ac:dyDescent="0.3"/>
    <row r="213" s="63" customFormat="1" x14ac:dyDescent="0.3"/>
    <row r="214" s="63" customFormat="1" x14ac:dyDescent="0.3"/>
    <row r="215" s="63" customFormat="1" x14ac:dyDescent="0.3"/>
    <row r="216" s="63" customFormat="1" x14ac:dyDescent="0.3"/>
    <row r="217" s="63" customFormat="1" x14ac:dyDescent="0.3"/>
    <row r="218" s="63" customFormat="1" x14ac:dyDescent="0.3"/>
    <row r="219" s="63" customFormat="1" x14ac:dyDescent="0.3"/>
    <row r="220" s="63" customFormat="1" x14ac:dyDescent="0.3"/>
    <row r="221" s="63" customFormat="1" x14ac:dyDescent="0.3"/>
    <row r="222" s="63" customFormat="1" x14ac:dyDescent="0.3"/>
    <row r="223" s="63" customFormat="1" x14ac:dyDescent="0.3"/>
    <row r="224" s="63" customFormat="1" x14ac:dyDescent="0.3"/>
    <row r="225" s="63" customFormat="1" x14ac:dyDescent="0.3"/>
    <row r="226" s="63" customFormat="1" x14ac:dyDescent="0.3"/>
    <row r="227" s="63" customFormat="1" x14ac:dyDescent="0.3"/>
    <row r="228" s="63" customFormat="1" x14ac:dyDescent="0.3"/>
    <row r="229" s="63" customFormat="1" x14ac:dyDescent="0.3"/>
    <row r="230" s="63" customFormat="1" x14ac:dyDescent="0.3"/>
    <row r="231" s="63" customFormat="1" x14ac:dyDescent="0.3"/>
    <row r="232" s="63" customFormat="1" x14ac:dyDescent="0.3"/>
    <row r="233" s="63" customFormat="1" x14ac:dyDescent="0.3"/>
    <row r="234" s="63" customFormat="1" x14ac:dyDescent="0.3"/>
    <row r="235" s="63" customFormat="1" x14ac:dyDescent="0.3"/>
    <row r="236" s="63" customFormat="1" x14ac:dyDescent="0.3"/>
    <row r="237" s="63" customFormat="1" x14ac:dyDescent="0.3"/>
    <row r="238" s="63" customFormat="1" x14ac:dyDescent="0.3"/>
    <row r="239" s="63" customFormat="1" x14ac:dyDescent="0.3"/>
    <row r="240" s="63" customFormat="1" x14ac:dyDescent="0.3"/>
    <row r="241" s="63" customFormat="1" x14ac:dyDescent="0.3"/>
    <row r="242" s="63" customFormat="1" x14ac:dyDescent="0.3"/>
    <row r="243" s="63" customFormat="1" x14ac:dyDescent="0.3"/>
    <row r="244" s="63" customFormat="1" x14ac:dyDescent="0.3"/>
    <row r="245" s="63" customFormat="1" x14ac:dyDescent="0.3"/>
    <row r="246" s="63" customFormat="1" x14ac:dyDescent="0.3"/>
    <row r="247" s="63" customFormat="1" x14ac:dyDescent="0.3"/>
    <row r="248" s="63" customFormat="1" x14ac:dyDescent="0.3"/>
    <row r="249" s="63" customFormat="1" x14ac:dyDescent="0.3"/>
    <row r="250" s="63" customFormat="1" x14ac:dyDescent="0.3"/>
    <row r="251" s="63" customFormat="1" x14ac:dyDescent="0.3"/>
    <row r="252" s="63" customFormat="1" x14ac:dyDescent="0.3"/>
    <row r="253" s="63" customFormat="1" x14ac:dyDescent="0.3"/>
    <row r="254" s="63" customFormat="1" x14ac:dyDescent="0.3"/>
    <row r="255" s="63" customFormat="1" x14ac:dyDescent="0.3"/>
    <row r="256" s="63" customFormat="1" x14ac:dyDescent="0.3"/>
    <row r="257" s="63" customFormat="1" x14ac:dyDescent="0.3"/>
    <row r="258" s="63" customFormat="1" x14ac:dyDescent="0.3"/>
    <row r="259" s="63" customFormat="1" x14ac:dyDescent="0.3"/>
    <row r="260" s="63" customFormat="1" x14ac:dyDescent="0.3"/>
    <row r="261" s="63" customFormat="1" x14ac:dyDescent="0.3"/>
    <row r="262" s="63" customFormat="1" x14ac:dyDescent="0.3"/>
    <row r="263" s="63" customFormat="1" x14ac:dyDescent="0.3"/>
    <row r="264" s="63" customFormat="1" x14ac:dyDescent="0.3"/>
    <row r="265" s="63" customFormat="1" x14ac:dyDescent="0.3"/>
    <row r="266" s="63" customFormat="1" x14ac:dyDescent="0.3"/>
    <row r="267" s="63" customFormat="1" x14ac:dyDescent="0.3"/>
    <row r="268" s="63" customFormat="1" x14ac:dyDescent="0.3"/>
    <row r="269" s="63" customFormat="1" x14ac:dyDescent="0.3"/>
    <row r="270" s="63" customFormat="1" x14ac:dyDescent="0.3"/>
  </sheetData>
  <mergeCells count="13">
    <mergeCell ref="A40:C40"/>
    <mergeCell ref="A41:C41"/>
    <mergeCell ref="A42:C42"/>
    <mergeCell ref="A13:C13"/>
    <mergeCell ref="A19:C19"/>
    <mergeCell ref="A25:C25"/>
    <mergeCell ref="A30:C30"/>
    <mergeCell ref="A31:C31"/>
    <mergeCell ref="A1:C1"/>
    <mergeCell ref="A2:C2"/>
    <mergeCell ref="A3:C3"/>
    <mergeCell ref="A4:C4"/>
    <mergeCell ref="A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8060"/>
  </sheetPr>
  <dimension ref="A1:AL350"/>
  <sheetViews>
    <sheetView zoomScaleNormal="100" workbookViewId="0">
      <selection activeCell="A25" sqref="A25:XFD350"/>
    </sheetView>
  </sheetViews>
  <sheetFormatPr baseColWidth="10" defaultColWidth="8.6640625" defaultRowHeight="14.4" x14ac:dyDescent="0.3"/>
  <cols>
    <col min="1" max="1" width="36" customWidth="1"/>
    <col min="2" max="6" width="14" customWidth="1"/>
    <col min="7" max="7" width="14" style="63" customWidth="1"/>
    <col min="8" max="38" width="8.6640625" style="63"/>
  </cols>
  <sheetData>
    <row r="1" spans="1:6" ht="37.5" customHeight="1" x14ac:dyDescent="0.3">
      <c r="A1" s="4" t="s">
        <v>85</v>
      </c>
      <c r="B1" s="4"/>
      <c r="C1" s="4"/>
      <c r="D1" s="4"/>
      <c r="E1" s="4"/>
      <c r="F1" s="4"/>
    </row>
    <row r="2" spans="1:6" ht="15.75" customHeight="1" x14ac:dyDescent="0.3">
      <c r="A2" s="8" t="s">
        <v>86</v>
      </c>
      <c r="B2" s="8"/>
      <c r="C2" s="8"/>
      <c r="D2" s="8"/>
      <c r="E2" s="8"/>
      <c r="F2" s="8"/>
    </row>
    <row r="3" spans="1:6" ht="25.5" customHeight="1" x14ac:dyDescent="0.3">
      <c r="A3" s="39" t="s">
        <v>87</v>
      </c>
      <c r="B3" s="40" t="s">
        <v>88</v>
      </c>
      <c r="C3" s="40" t="s">
        <v>89</v>
      </c>
      <c r="D3" s="40" t="s">
        <v>90</v>
      </c>
      <c r="E3" s="40" t="s">
        <v>91</v>
      </c>
      <c r="F3" s="41" t="s">
        <v>92</v>
      </c>
    </row>
    <row r="4" spans="1:6" ht="21.75" customHeight="1" x14ac:dyDescent="0.3">
      <c r="A4" s="3" t="s">
        <v>93</v>
      </c>
      <c r="B4" s="3"/>
      <c r="C4" s="3"/>
      <c r="D4" s="3"/>
      <c r="E4" s="3"/>
      <c r="F4" s="3"/>
    </row>
    <row r="5" spans="1:6" ht="19.5" customHeight="1" x14ac:dyDescent="0.3">
      <c r="A5" s="43" t="s">
        <v>94</v>
      </c>
      <c r="B5" s="44">
        <v>4</v>
      </c>
      <c r="C5" s="44">
        <v>5</v>
      </c>
      <c r="D5" s="44">
        <v>6</v>
      </c>
      <c r="E5" s="44">
        <v>7</v>
      </c>
      <c r="F5" s="23">
        <f>SUM(B5:E5)</f>
        <v>22</v>
      </c>
    </row>
    <row r="6" spans="1:6" ht="19.5" customHeight="1" x14ac:dyDescent="0.3">
      <c r="A6" s="28" t="s">
        <v>95</v>
      </c>
      <c r="B6" s="45">
        <f>'⚙️ Hypothèses'!B10*'⚙️ Hypothèses'!B17</f>
        <v>3</v>
      </c>
      <c r="C6" s="45">
        <f>'⚙️ Hypothèses'!B10*'⚙️ Hypothèses'!B17</f>
        <v>3</v>
      </c>
      <c r="D6" s="45">
        <f>'⚙️ Hypothèses'!B10*'⚙️ Hypothèses'!B17</f>
        <v>3</v>
      </c>
      <c r="E6" s="45">
        <f>'⚙️ Hypothèses'!B10*'⚙️ Hypothèses'!B17</f>
        <v>3</v>
      </c>
      <c r="F6" s="46">
        <f>AVERAGE(B6:E6)</f>
        <v>3</v>
      </c>
    </row>
    <row r="7" spans="1:6" ht="19.5" customHeight="1" x14ac:dyDescent="0.3">
      <c r="A7" s="47" t="s">
        <v>96</v>
      </c>
      <c r="B7" s="48">
        <f>B5*B6*'⚙️ Hypothèses'!B29</f>
        <v>480</v>
      </c>
      <c r="C7" s="48">
        <f>C5*C6*'⚙️ Hypothèses'!B29</f>
        <v>600</v>
      </c>
      <c r="D7" s="48">
        <f>D5*D6*'⚙️ Hypothèses'!B29</f>
        <v>720</v>
      </c>
      <c r="E7" s="48">
        <f>E5*E6*'⚙️ Hypothèses'!B29</f>
        <v>840</v>
      </c>
      <c r="F7" s="18">
        <f>SUM(B7:E7)</f>
        <v>2640</v>
      </c>
    </row>
    <row r="8" spans="1:6" ht="21.75" customHeight="1" x14ac:dyDescent="0.3">
      <c r="A8" s="3" t="s">
        <v>97</v>
      </c>
      <c r="B8" s="3"/>
      <c r="C8" s="3"/>
      <c r="D8" s="3"/>
      <c r="E8" s="3"/>
      <c r="F8" s="3"/>
    </row>
    <row r="9" spans="1:6" ht="19.5" customHeight="1" x14ac:dyDescent="0.3">
      <c r="A9" s="16" t="s">
        <v>98</v>
      </c>
      <c r="B9" s="17">
        <f>'⚙️ Hypothèses'!B20</f>
        <v>200</v>
      </c>
      <c r="C9" s="17">
        <f>'⚙️ Hypothèses'!B20</f>
        <v>200</v>
      </c>
      <c r="D9" s="17">
        <f>'⚙️ Hypothèses'!B20</f>
        <v>200</v>
      </c>
      <c r="E9" s="17">
        <f>'⚙️ Hypothèses'!B20</f>
        <v>200</v>
      </c>
      <c r="F9" s="18">
        <f t="shared" ref="F9:F17" si="0">SUM(B9:E9)</f>
        <v>800</v>
      </c>
    </row>
    <row r="10" spans="1:6" ht="19.5" customHeight="1" x14ac:dyDescent="0.3">
      <c r="A10" s="16" t="s">
        <v>99</v>
      </c>
      <c r="B10" s="17">
        <f>'⚙️ Hypothèses'!B21</f>
        <v>150</v>
      </c>
      <c r="C10" s="17">
        <f>'⚙️ Hypothèses'!B21</f>
        <v>150</v>
      </c>
      <c r="D10" s="17">
        <f>'⚙️ Hypothèses'!B21</f>
        <v>150</v>
      </c>
      <c r="E10" s="17">
        <f>'⚙️ Hypothèses'!B21</f>
        <v>150</v>
      </c>
      <c r="F10" s="18">
        <f t="shared" si="0"/>
        <v>600</v>
      </c>
    </row>
    <row r="11" spans="1:6" ht="19.5" customHeight="1" x14ac:dyDescent="0.3">
      <c r="A11" s="16" t="s">
        <v>100</v>
      </c>
      <c r="B11" s="17">
        <f>'⚙️ Hypothèses'!B22</f>
        <v>30</v>
      </c>
      <c r="C11" s="17">
        <f>'⚙️ Hypothèses'!B22</f>
        <v>30</v>
      </c>
      <c r="D11" s="17">
        <f>'⚙️ Hypothèses'!B22</f>
        <v>30</v>
      </c>
      <c r="E11" s="17">
        <f>'⚙️ Hypothèses'!B22</f>
        <v>30</v>
      </c>
      <c r="F11" s="18">
        <f t="shared" si="0"/>
        <v>120</v>
      </c>
    </row>
    <row r="12" spans="1:6" ht="19.5" customHeight="1" x14ac:dyDescent="0.3">
      <c r="A12" s="16" t="s">
        <v>101</v>
      </c>
      <c r="B12" s="17">
        <f>'⚙️ Hypothèses'!B23</f>
        <v>50</v>
      </c>
      <c r="C12" s="17">
        <f>'⚙️ Hypothèses'!B23</f>
        <v>50</v>
      </c>
      <c r="D12" s="17">
        <f>'⚙️ Hypothèses'!B23</f>
        <v>50</v>
      </c>
      <c r="E12" s="17">
        <f>'⚙️ Hypothèses'!B23</f>
        <v>50</v>
      </c>
      <c r="F12" s="18">
        <f t="shared" si="0"/>
        <v>200</v>
      </c>
    </row>
    <row r="13" spans="1:6" ht="19.5" customHeight="1" x14ac:dyDescent="0.3">
      <c r="A13" s="16" t="s">
        <v>102</v>
      </c>
      <c r="B13" s="17">
        <f>B7*'⚙️ Hypothèses'!B24</f>
        <v>101.75999999999999</v>
      </c>
      <c r="C13" s="17">
        <f>C7*'⚙️ Hypothèses'!B24</f>
        <v>127.2</v>
      </c>
      <c r="D13" s="17">
        <f>D7*'⚙️ Hypothèses'!B24</f>
        <v>152.63999999999999</v>
      </c>
      <c r="E13" s="17">
        <f>E7*'⚙️ Hypothèses'!B24</f>
        <v>178.07999999999998</v>
      </c>
      <c r="F13" s="18">
        <f t="shared" si="0"/>
        <v>559.67999999999995</v>
      </c>
    </row>
    <row r="14" spans="1:6" ht="19.5" customHeight="1" x14ac:dyDescent="0.3">
      <c r="A14" s="49" t="s">
        <v>103</v>
      </c>
      <c r="B14" s="50">
        <f>SUM(B9:B13)</f>
        <v>531.76</v>
      </c>
      <c r="C14" s="50">
        <f>SUM(C9:C13)</f>
        <v>557.20000000000005</v>
      </c>
      <c r="D14" s="50">
        <f>SUM(D9:D13)</f>
        <v>582.64</v>
      </c>
      <c r="E14" s="50">
        <f>SUM(E9:E13)</f>
        <v>608.07999999999993</v>
      </c>
      <c r="F14" s="18">
        <f t="shared" si="0"/>
        <v>2279.6799999999998</v>
      </c>
    </row>
    <row r="15" spans="1:6" ht="19.5" customHeight="1" x14ac:dyDescent="0.3">
      <c r="A15" s="2" t="str">
        <f>IF('⚙️ Hypothèses'!B34="OUI","Versement libératoire IR (€)","Impôt sur revenu – prélèvement à la source (info)")</f>
        <v>Versement libératoire IR (€)</v>
      </c>
      <c r="B15" s="2">
        <f>IF('⚙️ Hypothèses'!B34="OUI",B7*'⚙️ Hypothèses'!B35,0)</f>
        <v>8.16</v>
      </c>
      <c r="C15" s="2">
        <f>IF('⚙️ Hypothèses'!B34="OUI",C7*'⚙️ Hypothèses'!B35,0)</f>
        <v>10.200000000000001</v>
      </c>
      <c r="D15" s="2">
        <f>IF('⚙️ Hypothèses'!B34="OUI",D7*'⚙️ Hypothèses'!B35,0)</f>
        <v>12.24</v>
      </c>
      <c r="E15" s="2">
        <f>IF('⚙️ Hypothèses'!B34="OUI",E7*'⚙️ Hypothèses'!B35,0)</f>
        <v>14.280000000000001</v>
      </c>
      <c r="F15" s="2">
        <f t="shared" si="0"/>
        <v>44.88</v>
      </c>
    </row>
    <row r="16" spans="1:6" ht="19.5" customHeight="1" x14ac:dyDescent="0.3">
      <c r="A16" s="51" t="s">
        <v>104</v>
      </c>
      <c r="B16" s="19">
        <f>'⚙️ Hypothèses'!B36*'⚙️ Hypothèses'!B37/4</f>
        <v>0</v>
      </c>
      <c r="C16" s="19">
        <f>'⚙️ Hypothèses'!B36*'⚙️ Hypothèses'!B37/4</f>
        <v>0</v>
      </c>
      <c r="D16" s="19">
        <f>'⚙️ Hypothèses'!B36*'⚙️ Hypothèses'!B37/4</f>
        <v>0</v>
      </c>
      <c r="E16" s="19">
        <f>'⚙️ Hypothèses'!B36*'⚙️ Hypothèses'!B37/4</f>
        <v>0</v>
      </c>
      <c r="F16" s="52">
        <f t="shared" si="0"/>
        <v>0</v>
      </c>
    </row>
    <row r="17" spans="1:6" ht="19.5" customHeight="1" x14ac:dyDescent="0.3">
      <c r="A17" s="53" t="s">
        <v>105</v>
      </c>
      <c r="B17" s="54">
        <f>SUM(B9:B13)+B15+B16</f>
        <v>539.91999999999996</v>
      </c>
      <c r="C17" s="54">
        <f>SUM(C9:C13)+C15+C16</f>
        <v>567.40000000000009</v>
      </c>
      <c r="D17" s="54">
        <f>SUM(D9:D13)+D15+D16</f>
        <v>594.88</v>
      </c>
      <c r="E17" s="54">
        <f>SUM(E9:E13)+E15+E16</f>
        <v>622.3599999999999</v>
      </c>
      <c r="F17" s="54">
        <f t="shared" si="0"/>
        <v>2324.5600000000004</v>
      </c>
    </row>
    <row r="18" spans="1:6" ht="19.5" customHeight="1" x14ac:dyDescent="0.3">
      <c r="A18" s="1" t="str">
        <f>IF(F7&gt;'⚙️ Hypothèses'!B33,"🚨 CA dépasse 41 250 € – TVA obligatoire dès ce mois ! Facturer la TVA à 20%",IF(F7&gt;'⚙️ Hypothèses'!B32,"⚠️ CA entre 37 500 € et 41 250 € – Zone de tolérance TVA. Surveiller !","✅ Franchise TVA active – CA sous le seuil de " &amp; TEXT('⚙️ Hypothèses'!B32,"# ##0") &amp; " €"))</f>
        <v>✅ Franchise TVA active – CA sous le seuil de 37 500 €</v>
      </c>
      <c r="B18" s="1"/>
      <c r="C18" s="1"/>
      <c r="D18" s="1"/>
      <c r="E18" s="1"/>
      <c r="F18" s="1"/>
    </row>
    <row r="19" spans="1:6" ht="21.75" customHeight="1" x14ac:dyDescent="0.3">
      <c r="A19" s="13"/>
      <c r="B19" s="13"/>
      <c r="C19" s="13"/>
      <c r="D19" s="13"/>
      <c r="E19" s="13"/>
      <c r="F19" s="13"/>
    </row>
    <row r="20" spans="1:6" x14ac:dyDescent="0.3">
      <c r="A20" s="42" t="s">
        <v>106</v>
      </c>
      <c r="B20" s="31"/>
      <c r="C20" s="31"/>
      <c r="D20" s="31"/>
      <c r="E20" s="31"/>
      <c r="F20" s="31"/>
    </row>
    <row r="21" spans="1:6" x14ac:dyDescent="0.3">
      <c r="A21" s="47" t="s">
        <v>107</v>
      </c>
      <c r="B21" s="48">
        <f>B7-B17</f>
        <v>-59.919999999999959</v>
      </c>
      <c r="C21" s="48">
        <f>C7-C17</f>
        <v>32.599999999999909</v>
      </c>
      <c r="D21" s="48">
        <f>D7-D17</f>
        <v>125.12</v>
      </c>
      <c r="E21" s="48">
        <f>E7-E17</f>
        <v>217.6400000000001</v>
      </c>
      <c r="F21" s="18">
        <f>SUM(B21:E21)</f>
        <v>315.44000000000005</v>
      </c>
    </row>
    <row r="22" spans="1:6" x14ac:dyDescent="0.3">
      <c r="A22" s="51" t="s">
        <v>108</v>
      </c>
      <c r="B22" s="19">
        <f>B21</f>
        <v>-59.919999999999959</v>
      </c>
      <c r="C22" s="19">
        <f>B22+C21</f>
        <v>-27.32000000000005</v>
      </c>
      <c r="D22" s="19">
        <f>C22+D21</f>
        <v>97.799999999999955</v>
      </c>
      <c r="E22" s="19">
        <f>D22+E21</f>
        <v>315.44000000000005</v>
      </c>
      <c r="F22" s="18">
        <f>E22</f>
        <v>315.44000000000005</v>
      </c>
    </row>
    <row r="23" spans="1:6" x14ac:dyDescent="0.3">
      <c r="A23" s="28" t="s">
        <v>109</v>
      </c>
      <c r="B23" s="25">
        <f>IF(B7=0,"-",B21/B7)</f>
        <v>-0.12483333333333325</v>
      </c>
      <c r="C23" s="25">
        <f>IF(C7=0,"-",C21/C7)</f>
        <v>5.4333333333333185E-2</v>
      </c>
      <c r="D23" s="25">
        <f>IF(D7=0,"-",D21/D7)</f>
        <v>0.17377777777777778</v>
      </c>
      <c r="E23" s="25">
        <f>IF(E7=0,"-",E21/E7)</f>
        <v>0.25909523809523821</v>
      </c>
      <c r="F23" s="26">
        <f>IF(F7=0,"-",F21/F7)</f>
        <v>0.1194848484848485</v>
      </c>
    </row>
    <row r="24" spans="1:6" x14ac:dyDescent="0.3">
      <c r="A24" s="55" t="str">
        <f>IF(F7&gt;77700,"⚠️ Dépassement seuil micro-ent. !",IF(F7&gt;36800,"📢 Franchise TVA approchée","✅ Dans les seuils micro-entreprise"))</f>
        <v>✅ Dans les seuils micro-entreprise</v>
      </c>
      <c r="B24" s="56"/>
      <c r="C24" s="56"/>
      <c r="D24" s="56"/>
      <c r="E24" s="56"/>
      <c r="F24" s="56"/>
    </row>
    <row r="25" spans="1:6" s="63" customFormat="1" x14ac:dyDescent="0.3"/>
    <row r="26" spans="1:6" s="63" customFormat="1" x14ac:dyDescent="0.3"/>
    <row r="27" spans="1:6" s="63" customFormat="1" x14ac:dyDescent="0.3"/>
    <row r="28" spans="1:6" s="63" customFormat="1" x14ac:dyDescent="0.3"/>
    <row r="29" spans="1:6" s="63" customFormat="1" x14ac:dyDescent="0.3"/>
    <row r="30" spans="1:6" s="63" customFormat="1" x14ac:dyDescent="0.3"/>
    <row r="31" spans="1:6" s="63" customFormat="1" x14ac:dyDescent="0.3"/>
    <row r="32" spans="1:6" s="63" customFormat="1" x14ac:dyDescent="0.3"/>
    <row r="33" s="63" customFormat="1" x14ac:dyDescent="0.3"/>
    <row r="34" s="63" customFormat="1" x14ac:dyDescent="0.3"/>
    <row r="35" s="63" customFormat="1" x14ac:dyDescent="0.3"/>
    <row r="36" s="63" customFormat="1" x14ac:dyDescent="0.3"/>
    <row r="37" s="63" customFormat="1" x14ac:dyDescent="0.3"/>
    <row r="38" s="63" customFormat="1" x14ac:dyDescent="0.3"/>
    <row r="39" s="63" customFormat="1" x14ac:dyDescent="0.3"/>
    <row r="40" s="63" customFormat="1" x14ac:dyDescent="0.3"/>
    <row r="41" s="63" customFormat="1" x14ac:dyDescent="0.3"/>
    <row r="42" s="63" customFormat="1" x14ac:dyDescent="0.3"/>
    <row r="43" s="63" customFormat="1" x14ac:dyDescent="0.3"/>
    <row r="44" s="63" customFormat="1" x14ac:dyDescent="0.3"/>
    <row r="45" s="63" customFormat="1" x14ac:dyDescent="0.3"/>
    <row r="46" s="63" customFormat="1" x14ac:dyDescent="0.3"/>
    <row r="47" s="63" customFormat="1" x14ac:dyDescent="0.3"/>
    <row r="48" s="63" customFormat="1" x14ac:dyDescent="0.3"/>
    <row r="49" s="63" customFormat="1" x14ac:dyDescent="0.3"/>
    <row r="50" s="63" customFormat="1" x14ac:dyDescent="0.3"/>
    <row r="51" s="63" customFormat="1" x14ac:dyDescent="0.3"/>
    <row r="52" s="63" customFormat="1" x14ac:dyDescent="0.3"/>
    <row r="53" s="63" customFormat="1" x14ac:dyDescent="0.3"/>
    <row r="54" s="63" customFormat="1" x14ac:dyDescent="0.3"/>
    <row r="55" s="63" customFormat="1" x14ac:dyDescent="0.3"/>
    <row r="56" s="63" customFormat="1" x14ac:dyDescent="0.3"/>
    <row r="57" s="63" customFormat="1" x14ac:dyDescent="0.3"/>
    <row r="58" s="63" customFormat="1" x14ac:dyDescent="0.3"/>
    <row r="59" s="63" customFormat="1" x14ac:dyDescent="0.3"/>
    <row r="60" s="63" customFormat="1" x14ac:dyDescent="0.3"/>
    <row r="61" s="63" customFormat="1" x14ac:dyDescent="0.3"/>
    <row r="62" s="63" customFormat="1" x14ac:dyDescent="0.3"/>
    <row r="63" s="63" customFormat="1" x14ac:dyDescent="0.3"/>
    <row r="64" s="63" customFormat="1" x14ac:dyDescent="0.3"/>
    <row r="65" s="63" customFormat="1" x14ac:dyDescent="0.3"/>
    <row r="66" s="63" customFormat="1" x14ac:dyDescent="0.3"/>
    <row r="67" s="63" customFormat="1" x14ac:dyDescent="0.3"/>
    <row r="68" s="63" customFormat="1" x14ac:dyDescent="0.3"/>
    <row r="69" s="63" customFormat="1" x14ac:dyDescent="0.3"/>
    <row r="70" s="63" customFormat="1" x14ac:dyDescent="0.3"/>
    <row r="71" s="63" customFormat="1" x14ac:dyDescent="0.3"/>
    <row r="72" s="63" customFormat="1" x14ac:dyDescent="0.3"/>
    <row r="73" s="63" customFormat="1" x14ac:dyDescent="0.3"/>
    <row r="74" s="63" customFormat="1" x14ac:dyDescent="0.3"/>
    <row r="75" s="63" customFormat="1" x14ac:dyDescent="0.3"/>
    <row r="76" s="63" customFormat="1" x14ac:dyDescent="0.3"/>
    <row r="77" s="63" customFormat="1" x14ac:dyDescent="0.3"/>
    <row r="78" s="63" customFormat="1" x14ac:dyDescent="0.3"/>
    <row r="79" s="63" customFormat="1" x14ac:dyDescent="0.3"/>
    <row r="80" s="63" customFormat="1" x14ac:dyDescent="0.3"/>
    <row r="81" s="63" customFormat="1" x14ac:dyDescent="0.3"/>
    <row r="82" s="63" customFormat="1" x14ac:dyDescent="0.3"/>
    <row r="83" s="63" customFormat="1" x14ac:dyDescent="0.3"/>
    <row r="84" s="63" customFormat="1" x14ac:dyDescent="0.3"/>
    <row r="85" s="63" customFormat="1" x14ac:dyDescent="0.3"/>
    <row r="86" s="63" customFormat="1" x14ac:dyDescent="0.3"/>
    <row r="87" s="63" customFormat="1" x14ac:dyDescent="0.3"/>
    <row r="88" s="63" customFormat="1" x14ac:dyDescent="0.3"/>
    <row r="89" s="63" customFormat="1" x14ac:dyDescent="0.3"/>
    <row r="90" s="63" customFormat="1" x14ac:dyDescent="0.3"/>
    <row r="91" s="63" customFormat="1" x14ac:dyDescent="0.3"/>
    <row r="92" s="63" customFormat="1" x14ac:dyDescent="0.3"/>
    <row r="93" s="63" customFormat="1" x14ac:dyDescent="0.3"/>
    <row r="94" s="63" customFormat="1" x14ac:dyDescent="0.3"/>
    <row r="95" s="63" customFormat="1" x14ac:dyDescent="0.3"/>
    <row r="96" s="63" customFormat="1" x14ac:dyDescent="0.3"/>
    <row r="97" s="63" customFormat="1" x14ac:dyDescent="0.3"/>
    <row r="98" s="63" customFormat="1" x14ac:dyDescent="0.3"/>
    <row r="99" s="63" customFormat="1" x14ac:dyDescent="0.3"/>
    <row r="100" s="63" customFormat="1" x14ac:dyDescent="0.3"/>
    <row r="101" s="63" customFormat="1" x14ac:dyDescent="0.3"/>
    <row r="102" s="63" customFormat="1" x14ac:dyDescent="0.3"/>
    <row r="103" s="63" customFormat="1" x14ac:dyDescent="0.3"/>
    <row r="104" s="63" customFormat="1" x14ac:dyDescent="0.3"/>
    <row r="105" s="63" customFormat="1" x14ac:dyDescent="0.3"/>
    <row r="106" s="63" customFormat="1" x14ac:dyDescent="0.3"/>
    <row r="107" s="63" customFormat="1" x14ac:dyDescent="0.3"/>
    <row r="108" s="63" customFormat="1" x14ac:dyDescent="0.3"/>
    <row r="109" s="63" customFormat="1" x14ac:dyDescent="0.3"/>
    <row r="110" s="63" customFormat="1" x14ac:dyDescent="0.3"/>
    <row r="111" s="63" customFormat="1" x14ac:dyDescent="0.3"/>
    <row r="112" s="63" customFormat="1" x14ac:dyDescent="0.3"/>
    <row r="113" s="63" customFormat="1" x14ac:dyDescent="0.3"/>
    <row r="114" s="63" customFormat="1" x14ac:dyDescent="0.3"/>
    <row r="115" s="63" customFormat="1" x14ac:dyDescent="0.3"/>
    <row r="116" s="63" customFormat="1" x14ac:dyDescent="0.3"/>
    <row r="117" s="63" customFormat="1" x14ac:dyDescent="0.3"/>
    <row r="118" s="63" customFormat="1" x14ac:dyDescent="0.3"/>
    <row r="119" s="63" customFormat="1" x14ac:dyDescent="0.3"/>
    <row r="120" s="63" customFormat="1" x14ac:dyDescent="0.3"/>
    <row r="121" s="63" customFormat="1" x14ac:dyDescent="0.3"/>
    <row r="122" s="63" customFormat="1" x14ac:dyDescent="0.3"/>
    <row r="123" s="63" customFormat="1" x14ac:dyDescent="0.3"/>
    <row r="124" s="63" customFormat="1" x14ac:dyDescent="0.3"/>
    <row r="125" s="63" customFormat="1" x14ac:dyDescent="0.3"/>
    <row r="126" s="63" customFormat="1" x14ac:dyDescent="0.3"/>
    <row r="127" s="63" customFormat="1" x14ac:dyDescent="0.3"/>
    <row r="128" s="63" customFormat="1" x14ac:dyDescent="0.3"/>
    <row r="129" s="63" customFormat="1" x14ac:dyDescent="0.3"/>
    <row r="130" s="63" customFormat="1" x14ac:dyDescent="0.3"/>
    <row r="131" s="63" customFormat="1" x14ac:dyDescent="0.3"/>
    <row r="132" s="63" customFormat="1" x14ac:dyDescent="0.3"/>
    <row r="133" s="63" customFormat="1" x14ac:dyDescent="0.3"/>
    <row r="134" s="63" customFormat="1" x14ac:dyDescent="0.3"/>
    <row r="135" s="63" customFormat="1" x14ac:dyDescent="0.3"/>
    <row r="136" s="63" customFormat="1" x14ac:dyDescent="0.3"/>
    <row r="137" s="63" customFormat="1" x14ac:dyDescent="0.3"/>
    <row r="138" s="63" customFormat="1" x14ac:dyDescent="0.3"/>
    <row r="139" s="63" customFormat="1" x14ac:dyDescent="0.3"/>
    <row r="140" s="63" customFormat="1" x14ac:dyDescent="0.3"/>
    <row r="141" s="63" customFormat="1" x14ac:dyDescent="0.3"/>
    <row r="142" s="63" customFormat="1" x14ac:dyDescent="0.3"/>
    <row r="143" s="63" customFormat="1" x14ac:dyDescent="0.3"/>
    <row r="144" s="63" customFormat="1" x14ac:dyDescent="0.3"/>
    <row r="145" s="63" customFormat="1" x14ac:dyDescent="0.3"/>
    <row r="146" s="63" customFormat="1" x14ac:dyDescent="0.3"/>
    <row r="147" s="63" customFormat="1" x14ac:dyDescent="0.3"/>
    <row r="148" s="63" customFormat="1" x14ac:dyDescent="0.3"/>
    <row r="149" s="63" customFormat="1" x14ac:dyDescent="0.3"/>
    <row r="150" s="63" customFormat="1" x14ac:dyDescent="0.3"/>
    <row r="151" s="63" customFormat="1" x14ac:dyDescent="0.3"/>
    <row r="152" s="63" customFormat="1" x14ac:dyDescent="0.3"/>
    <row r="153" s="63" customFormat="1" x14ac:dyDescent="0.3"/>
    <row r="154" s="63" customFormat="1" x14ac:dyDescent="0.3"/>
    <row r="155" s="63" customFormat="1" x14ac:dyDescent="0.3"/>
    <row r="156" s="63" customFormat="1" x14ac:dyDescent="0.3"/>
    <row r="157" s="63" customFormat="1" x14ac:dyDescent="0.3"/>
    <row r="158" s="63" customFormat="1" x14ac:dyDescent="0.3"/>
    <row r="159" s="63" customFormat="1" x14ac:dyDescent="0.3"/>
    <row r="160" s="63" customFormat="1" x14ac:dyDescent="0.3"/>
    <row r="161" s="63" customFormat="1" x14ac:dyDescent="0.3"/>
    <row r="162" s="63" customFormat="1" x14ac:dyDescent="0.3"/>
    <row r="163" s="63" customFormat="1" x14ac:dyDescent="0.3"/>
    <row r="164" s="63" customFormat="1" x14ac:dyDescent="0.3"/>
    <row r="165" s="63" customFormat="1" x14ac:dyDescent="0.3"/>
    <row r="166" s="63" customFormat="1" x14ac:dyDescent="0.3"/>
    <row r="167" s="63" customFormat="1" x14ac:dyDescent="0.3"/>
    <row r="168" s="63" customFormat="1" x14ac:dyDescent="0.3"/>
    <row r="169" s="63" customFormat="1" x14ac:dyDescent="0.3"/>
    <row r="170" s="63" customFormat="1" x14ac:dyDescent="0.3"/>
    <row r="171" s="63" customFormat="1" x14ac:dyDescent="0.3"/>
    <row r="172" s="63" customFormat="1" x14ac:dyDescent="0.3"/>
    <row r="173" s="63" customFormat="1" x14ac:dyDescent="0.3"/>
    <row r="174" s="63" customFormat="1" x14ac:dyDescent="0.3"/>
    <row r="175" s="63" customFormat="1" x14ac:dyDescent="0.3"/>
    <row r="176" s="63" customFormat="1" x14ac:dyDescent="0.3"/>
    <row r="177" s="63" customFormat="1" x14ac:dyDescent="0.3"/>
    <row r="178" s="63" customFormat="1" x14ac:dyDescent="0.3"/>
    <row r="179" s="63" customFormat="1" x14ac:dyDescent="0.3"/>
    <row r="180" s="63" customFormat="1" x14ac:dyDescent="0.3"/>
    <row r="181" s="63" customFormat="1" x14ac:dyDescent="0.3"/>
    <row r="182" s="63" customFormat="1" x14ac:dyDescent="0.3"/>
    <row r="183" s="63" customFormat="1" x14ac:dyDescent="0.3"/>
    <row r="184" s="63" customFormat="1" x14ac:dyDescent="0.3"/>
    <row r="185" s="63" customFormat="1" x14ac:dyDescent="0.3"/>
    <row r="186" s="63" customFormat="1" x14ac:dyDescent="0.3"/>
    <row r="187" s="63" customFormat="1" x14ac:dyDescent="0.3"/>
    <row r="188" s="63" customFormat="1" x14ac:dyDescent="0.3"/>
    <row r="189" s="63" customFormat="1" x14ac:dyDescent="0.3"/>
    <row r="190" s="63" customFormat="1" x14ac:dyDescent="0.3"/>
    <row r="191" s="63" customFormat="1" x14ac:dyDescent="0.3"/>
    <row r="192" s="63" customFormat="1" x14ac:dyDescent="0.3"/>
    <row r="193" s="63" customFormat="1" x14ac:dyDescent="0.3"/>
    <row r="194" s="63" customFormat="1" x14ac:dyDescent="0.3"/>
    <row r="195" s="63" customFormat="1" x14ac:dyDescent="0.3"/>
    <row r="196" s="63" customFormat="1" x14ac:dyDescent="0.3"/>
    <row r="197" s="63" customFormat="1" x14ac:dyDescent="0.3"/>
    <row r="198" s="63" customFormat="1" x14ac:dyDescent="0.3"/>
    <row r="199" s="63" customFormat="1" x14ac:dyDescent="0.3"/>
    <row r="200" s="63" customFormat="1" x14ac:dyDescent="0.3"/>
    <row r="201" s="63" customFormat="1" x14ac:dyDescent="0.3"/>
    <row r="202" s="63" customFormat="1" x14ac:dyDescent="0.3"/>
    <row r="203" s="63" customFormat="1" x14ac:dyDescent="0.3"/>
    <row r="204" s="63" customFormat="1" x14ac:dyDescent="0.3"/>
    <row r="205" s="63" customFormat="1" x14ac:dyDescent="0.3"/>
    <row r="206" s="63" customFormat="1" x14ac:dyDescent="0.3"/>
    <row r="207" s="63" customFormat="1" x14ac:dyDescent="0.3"/>
    <row r="208" s="63" customFormat="1" x14ac:dyDescent="0.3"/>
    <row r="209" s="63" customFormat="1" x14ac:dyDescent="0.3"/>
    <row r="210" s="63" customFormat="1" x14ac:dyDescent="0.3"/>
    <row r="211" s="63" customFormat="1" x14ac:dyDescent="0.3"/>
    <row r="212" s="63" customFormat="1" x14ac:dyDescent="0.3"/>
    <row r="213" s="63" customFormat="1" x14ac:dyDescent="0.3"/>
    <row r="214" s="63" customFormat="1" x14ac:dyDescent="0.3"/>
    <row r="215" s="63" customFormat="1" x14ac:dyDescent="0.3"/>
    <row r="216" s="63" customFormat="1" x14ac:dyDescent="0.3"/>
    <row r="217" s="63" customFormat="1" x14ac:dyDescent="0.3"/>
    <row r="218" s="63" customFormat="1" x14ac:dyDescent="0.3"/>
    <row r="219" s="63" customFormat="1" x14ac:dyDescent="0.3"/>
    <row r="220" s="63" customFormat="1" x14ac:dyDescent="0.3"/>
    <row r="221" s="63" customFormat="1" x14ac:dyDescent="0.3"/>
    <row r="222" s="63" customFormat="1" x14ac:dyDescent="0.3"/>
    <row r="223" s="63" customFormat="1" x14ac:dyDescent="0.3"/>
    <row r="224" s="63" customFormat="1" x14ac:dyDescent="0.3"/>
    <row r="225" s="63" customFormat="1" x14ac:dyDescent="0.3"/>
    <row r="226" s="63" customFormat="1" x14ac:dyDescent="0.3"/>
    <row r="227" s="63" customFormat="1" x14ac:dyDescent="0.3"/>
    <row r="228" s="63" customFormat="1" x14ac:dyDescent="0.3"/>
    <row r="229" s="63" customFormat="1" x14ac:dyDescent="0.3"/>
    <row r="230" s="63" customFormat="1" x14ac:dyDescent="0.3"/>
    <row r="231" s="63" customFormat="1" x14ac:dyDescent="0.3"/>
    <row r="232" s="63" customFormat="1" x14ac:dyDescent="0.3"/>
    <row r="233" s="63" customFormat="1" x14ac:dyDescent="0.3"/>
    <row r="234" s="63" customFormat="1" x14ac:dyDescent="0.3"/>
    <row r="235" s="63" customFormat="1" x14ac:dyDescent="0.3"/>
    <row r="236" s="63" customFormat="1" x14ac:dyDescent="0.3"/>
    <row r="237" s="63" customFormat="1" x14ac:dyDescent="0.3"/>
    <row r="238" s="63" customFormat="1" x14ac:dyDescent="0.3"/>
    <row r="239" s="63" customFormat="1" x14ac:dyDescent="0.3"/>
    <row r="240" s="63" customFormat="1" x14ac:dyDescent="0.3"/>
    <row r="241" s="63" customFormat="1" x14ac:dyDescent="0.3"/>
    <row r="242" s="63" customFormat="1" x14ac:dyDescent="0.3"/>
    <row r="243" s="63" customFormat="1" x14ac:dyDescent="0.3"/>
    <row r="244" s="63" customFormat="1" x14ac:dyDescent="0.3"/>
    <row r="245" s="63" customFormat="1" x14ac:dyDescent="0.3"/>
    <row r="246" s="63" customFormat="1" x14ac:dyDescent="0.3"/>
    <row r="247" s="63" customFormat="1" x14ac:dyDescent="0.3"/>
    <row r="248" s="63" customFormat="1" x14ac:dyDescent="0.3"/>
    <row r="249" s="63" customFormat="1" x14ac:dyDescent="0.3"/>
    <row r="250" s="63" customFormat="1" x14ac:dyDescent="0.3"/>
    <row r="251" s="63" customFormat="1" x14ac:dyDescent="0.3"/>
    <row r="252" s="63" customFormat="1" x14ac:dyDescent="0.3"/>
    <row r="253" s="63" customFormat="1" x14ac:dyDescent="0.3"/>
    <row r="254" s="63" customFormat="1" x14ac:dyDescent="0.3"/>
    <row r="255" s="63" customFormat="1" x14ac:dyDescent="0.3"/>
    <row r="256" s="63" customFormat="1" x14ac:dyDescent="0.3"/>
    <row r="257" s="63" customFormat="1" x14ac:dyDescent="0.3"/>
    <row r="258" s="63" customFormat="1" x14ac:dyDescent="0.3"/>
    <row r="259" s="63" customFormat="1" x14ac:dyDescent="0.3"/>
    <row r="260" s="63" customFormat="1" x14ac:dyDescent="0.3"/>
    <row r="261" s="63" customFormat="1" x14ac:dyDescent="0.3"/>
    <row r="262" s="63" customFormat="1" x14ac:dyDescent="0.3"/>
    <row r="263" s="63" customFormat="1" x14ac:dyDescent="0.3"/>
    <row r="264" s="63" customFormat="1" x14ac:dyDescent="0.3"/>
    <row r="265" s="63" customFormat="1" x14ac:dyDescent="0.3"/>
    <row r="266" s="63" customFormat="1" x14ac:dyDescent="0.3"/>
    <row r="267" s="63" customFormat="1" x14ac:dyDescent="0.3"/>
    <row r="268" s="63" customFormat="1" x14ac:dyDescent="0.3"/>
    <row r="269" s="63" customFormat="1" x14ac:dyDescent="0.3"/>
    <row r="270" s="63" customFormat="1" x14ac:dyDescent="0.3"/>
    <row r="271" s="63" customFormat="1" x14ac:dyDescent="0.3"/>
    <row r="272" s="63" customFormat="1" x14ac:dyDescent="0.3"/>
    <row r="273" s="63" customFormat="1" x14ac:dyDescent="0.3"/>
    <row r="274" s="63" customFormat="1" x14ac:dyDescent="0.3"/>
    <row r="275" s="63" customFormat="1" x14ac:dyDescent="0.3"/>
    <row r="276" s="63" customFormat="1" x14ac:dyDescent="0.3"/>
    <row r="277" s="63" customFormat="1" x14ac:dyDescent="0.3"/>
    <row r="278" s="63" customFormat="1" x14ac:dyDescent="0.3"/>
    <row r="279" s="63" customFormat="1" x14ac:dyDescent="0.3"/>
    <row r="280" s="63" customFormat="1" x14ac:dyDescent="0.3"/>
    <row r="281" s="63" customFormat="1" x14ac:dyDescent="0.3"/>
    <row r="282" s="63" customFormat="1" x14ac:dyDescent="0.3"/>
    <row r="283" s="63" customFormat="1" x14ac:dyDescent="0.3"/>
    <row r="284" s="63" customFormat="1" x14ac:dyDescent="0.3"/>
    <row r="285" s="63" customFormat="1" x14ac:dyDescent="0.3"/>
    <row r="286" s="63" customFormat="1" x14ac:dyDescent="0.3"/>
    <row r="287" s="63" customFormat="1" x14ac:dyDescent="0.3"/>
    <row r="288" s="63" customFormat="1" x14ac:dyDescent="0.3"/>
    <row r="289" s="63" customFormat="1" x14ac:dyDescent="0.3"/>
    <row r="290" s="63" customFormat="1" x14ac:dyDescent="0.3"/>
    <row r="291" s="63" customFormat="1" x14ac:dyDescent="0.3"/>
    <row r="292" s="63" customFormat="1" x14ac:dyDescent="0.3"/>
    <row r="293" s="63" customFormat="1" x14ac:dyDescent="0.3"/>
    <row r="294" s="63" customFormat="1" x14ac:dyDescent="0.3"/>
    <row r="295" s="63" customFormat="1" x14ac:dyDescent="0.3"/>
    <row r="296" s="63" customFormat="1" x14ac:dyDescent="0.3"/>
    <row r="297" s="63" customFormat="1" x14ac:dyDescent="0.3"/>
    <row r="298" s="63" customFormat="1" x14ac:dyDescent="0.3"/>
    <row r="299" s="63" customFormat="1" x14ac:dyDescent="0.3"/>
    <row r="300" s="63" customFormat="1" x14ac:dyDescent="0.3"/>
    <row r="301" s="63" customFormat="1" x14ac:dyDescent="0.3"/>
    <row r="302" s="63" customFormat="1" x14ac:dyDescent="0.3"/>
    <row r="303" s="63" customFormat="1" x14ac:dyDescent="0.3"/>
    <row r="304" s="63" customFormat="1" x14ac:dyDescent="0.3"/>
    <row r="305" s="63" customFormat="1" x14ac:dyDescent="0.3"/>
    <row r="306" s="63" customFormat="1" x14ac:dyDescent="0.3"/>
    <row r="307" s="63" customFormat="1" x14ac:dyDescent="0.3"/>
    <row r="308" s="63" customFormat="1" x14ac:dyDescent="0.3"/>
    <row r="309" s="63" customFormat="1" x14ac:dyDescent="0.3"/>
    <row r="310" s="63" customFormat="1" x14ac:dyDescent="0.3"/>
    <row r="311" s="63" customFormat="1" x14ac:dyDescent="0.3"/>
    <row r="312" s="63" customFormat="1" x14ac:dyDescent="0.3"/>
    <row r="313" s="63" customFormat="1" x14ac:dyDescent="0.3"/>
    <row r="314" s="63" customFormat="1" x14ac:dyDescent="0.3"/>
    <row r="315" s="63" customFormat="1" x14ac:dyDescent="0.3"/>
    <row r="316" s="63" customFormat="1" x14ac:dyDescent="0.3"/>
    <row r="317" s="63" customFormat="1" x14ac:dyDescent="0.3"/>
    <row r="318" s="63" customFormat="1" x14ac:dyDescent="0.3"/>
    <row r="319" s="63" customFormat="1" x14ac:dyDescent="0.3"/>
    <row r="320" s="63" customFormat="1" x14ac:dyDescent="0.3"/>
    <row r="321" s="63" customFormat="1" x14ac:dyDescent="0.3"/>
    <row r="322" s="63" customFormat="1" x14ac:dyDescent="0.3"/>
    <row r="323" s="63" customFormat="1" x14ac:dyDescent="0.3"/>
    <row r="324" s="63" customFormat="1" x14ac:dyDescent="0.3"/>
    <row r="325" s="63" customFormat="1" x14ac:dyDescent="0.3"/>
    <row r="326" s="63" customFormat="1" x14ac:dyDescent="0.3"/>
    <row r="327" s="63" customFormat="1" x14ac:dyDescent="0.3"/>
    <row r="328" s="63" customFormat="1" x14ac:dyDescent="0.3"/>
    <row r="329" s="63" customFormat="1" x14ac:dyDescent="0.3"/>
    <row r="330" s="63" customFormat="1" x14ac:dyDescent="0.3"/>
    <row r="331" s="63" customFormat="1" x14ac:dyDescent="0.3"/>
    <row r="332" s="63" customFormat="1" x14ac:dyDescent="0.3"/>
    <row r="333" s="63" customFormat="1" x14ac:dyDescent="0.3"/>
    <row r="334" s="63" customFormat="1" x14ac:dyDescent="0.3"/>
    <row r="335" s="63" customFormat="1" x14ac:dyDescent="0.3"/>
    <row r="336" s="63" customFormat="1" x14ac:dyDescent="0.3"/>
    <row r="337" s="63" customFormat="1" x14ac:dyDescent="0.3"/>
    <row r="338" s="63" customFormat="1" x14ac:dyDescent="0.3"/>
    <row r="339" s="63" customFormat="1" x14ac:dyDescent="0.3"/>
    <row r="340" s="63" customFormat="1" x14ac:dyDescent="0.3"/>
    <row r="341" s="63" customFormat="1" x14ac:dyDescent="0.3"/>
    <row r="342" s="63" customFormat="1" x14ac:dyDescent="0.3"/>
    <row r="343" s="63" customFormat="1" x14ac:dyDescent="0.3"/>
    <row r="344" s="63" customFormat="1" x14ac:dyDescent="0.3"/>
    <row r="345" s="63" customFormat="1" x14ac:dyDescent="0.3"/>
    <row r="346" s="63" customFormat="1" x14ac:dyDescent="0.3"/>
    <row r="347" s="63" customFormat="1" x14ac:dyDescent="0.3"/>
    <row r="348" s="63" customFormat="1" x14ac:dyDescent="0.3"/>
    <row r="349" s="63" customFormat="1" x14ac:dyDescent="0.3"/>
    <row r="350" s="63" customFormat="1" x14ac:dyDescent="0.3"/>
  </sheetData>
  <mergeCells count="7">
    <mergeCell ref="A18:F18"/>
    <mergeCell ref="A19:F19"/>
    <mergeCell ref="A1:F1"/>
    <mergeCell ref="A2:F2"/>
    <mergeCell ref="A4:F4"/>
    <mergeCell ref="A8:F8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07850"/>
  </sheetPr>
  <dimension ref="A1:BN98"/>
  <sheetViews>
    <sheetView zoomScale="90" zoomScaleNormal="90" workbookViewId="0">
      <selection activeCell="G24" sqref="A24:XFD24"/>
    </sheetView>
  </sheetViews>
  <sheetFormatPr baseColWidth="10" defaultColWidth="8.6640625" defaultRowHeight="14.4" x14ac:dyDescent="0.3"/>
  <cols>
    <col min="1" max="1" width="36" customWidth="1"/>
    <col min="2" max="14" width="14" customWidth="1"/>
    <col min="15" max="15" width="14" style="63" customWidth="1"/>
    <col min="16" max="66" width="8.6640625" style="63"/>
  </cols>
  <sheetData>
    <row r="1" spans="1:14" ht="37.5" customHeight="1" x14ac:dyDescent="0.3">
      <c r="A1" s="4" t="s">
        <v>110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5.75" customHeight="1" x14ac:dyDescent="0.3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25.5" customHeight="1" x14ac:dyDescent="0.3">
      <c r="A3" s="39" t="s">
        <v>87</v>
      </c>
      <c r="B3" s="40" t="s">
        <v>111</v>
      </c>
      <c r="C3" s="40" t="s">
        <v>112</v>
      </c>
      <c r="D3" s="40" t="s">
        <v>113</v>
      </c>
      <c r="E3" s="40" t="s">
        <v>114</v>
      </c>
      <c r="F3" s="40" t="s">
        <v>115</v>
      </c>
      <c r="G3" s="40" t="s">
        <v>116</v>
      </c>
      <c r="H3" s="40" t="s">
        <v>117</v>
      </c>
      <c r="I3" s="40" t="s">
        <v>118</v>
      </c>
      <c r="J3" s="40" t="s">
        <v>88</v>
      </c>
      <c r="K3" s="40" t="s">
        <v>89</v>
      </c>
      <c r="L3" s="40" t="s">
        <v>90</v>
      </c>
      <c r="M3" s="40" t="s">
        <v>91</v>
      </c>
      <c r="N3" s="41" t="s">
        <v>119</v>
      </c>
    </row>
    <row r="4" spans="1:14" ht="21.75" customHeight="1" x14ac:dyDescent="0.3">
      <c r="A4" s="3" t="s">
        <v>93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9.5" customHeight="1" x14ac:dyDescent="0.3">
      <c r="A5" s="43" t="s">
        <v>94</v>
      </c>
      <c r="B5" s="57">
        <v>8</v>
      </c>
      <c r="C5" s="57">
        <v>8</v>
      </c>
      <c r="D5" s="57">
        <v>8</v>
      </c>
      <c r="E5" s="57">
        <v>9</v>
      </c>
      <c r="F5" s="57">
        <v>9</v>
      </c>
      <c r="G5" s="57">
        <v>9</v>
      </c>
      <c r="H5" s="57">
        <v>10</v>
      </c>
      <c r="I5" s="57">
        <v>10</v>
      </c>
      <c r="J5" s="57">
        <v>10</v>
      </c>
      <c r="K5" s="57">
        <v>11</v>
      </c>
      <c r="L5" s="57">
        <v>11</v>
      </c>
      <c r="M5" s="57">
        <v>11</v>
      </c>
      <c r="N5" s="23">
        <f>SUM(B5:M5)</f>
        <v>114</v>
      </c>
    </row>
    <row r="6" spans="1:14" ht="19.5" customHeight="1" x14ac:dyDescent="0.3">
      <c r="A6" s="28" t="s">
        <v>95</v>
      </c>
      <c r="B6" s="45">
        <f>'⚙️ Hypothèses'!B10*'⚙️ Hypothèses'!B18</f>
        <v>4.8000000000000007</v>
      </c>
      <c r="C6" s="45">
        <f>'⚙️ Hypothèses'!B10*'⚙️ Hypothèses'!B18</f>
        <v>4.8000000000000007</v>
      </c>
      <c r="D6" s="45">
        <f>'⚙️ Hypothèses'!B10*'⚙️ Hypothèses'!B18</f>
        <v>4.8000000000000007</v>
      </c>
      <c r="E6" s="45">
        <f>'⚙️ Hypothèses'!B10*'⚙️ Hypothèses'!B18</f>
        <v>4.8000000000000007</v>
      </c>
      <c r="F6" s="45">
        <f>'⚙️ Hypothèses'!B10*'⚙️ Hypothèses'!B18</f>
        <v>4.8000000000000007</v>
      </c>
      <c r="G6" s="45">
        <f>'⚙️ Hypothèses'!B10*'⚙️ Hypothèses'!B18</f>
        <v>4.8000000000000007</v>
      </c>
      <c r="H6" s="45">
        <f>'⚙️ Hypothèses'!B10*'⚙️ Hypothèses'!B18</f>
        <v>4.8000000000000007</v>
      </c>
      <c r="I6" s="45">
        <f>'⚙️ Hypothèses'!B10*'⚙️ Hypothèses'!B18</f>
        <v>4.8000000000000007</v>
      </c>
      <c r="J6" s="45">
        <f>'⚙️ Hypothèses'!B10*'⚙️ Hypothèses'!B18</f>
        <v>4.8000000000000007</v>
      </c>
      <c r="K6" s="45">
        <f>'⚙️ Hypothèses'!B10*'⚙️ Hypothèses'!B18</f>
        <v>4.8000000000000007</v>
      </c>
      <c r="L6" s="45">
        <f>'⚙️ Hypothèses'!B10*'⚙️ Hypothèses'!B18</f>
        <v>4.8000000000000007</v>
      </c>
      <c r="M6" s="45">
        <f>'⚙️ Hypothèses'!B10*'⚙️ Hypothèses'!B18</f>
        <v>4.8000000000000007</v>
      </c>
      <c r="N6" s="46">
        <f>AVERAGE(B6:M6)</f>
        <v>4.8</v>
      </c>
    </row>
    <row r="7" spans="1:14" ht="19.5" customHeight="1" x14ac:dyDescent="0.3">
      <c r="A7" s="47" t="s">
        <v>96</v>
      </c>
      <c r="B7" s="48">
        <f>B5*B6*'⚙️ Hypothèses'!B29</f>
        <v>1536.0000000000002</v>
      </c>
      <c r="C7" s="48">
        <f>C5*C6*'⚙️ Hypothèses'!B29</f>
        <v>1536.0000000000002</v>
      </c>
      <c r="D7" s="48">
        <f>D5*D6*'⚙️ Hypothèses'!B29</f>
        <v>1536.0000000000002</v>
      </c>
      <c r="E7" s="48">
        <f>E5*E6*'⚙️ Hypothèses'!B29</f>
        <v>1728</v>
      </c>
      <c r="F7" s="48">
        <f>F5*F6*'⚙️ Hypothèses'!B29</f>
        <v>1728</v>
      </c>
      <c r="G7" s="48">
        <f>G5*G6*'⚙️ Hypothèses'!B29</f>
        <v>1728</v>
      </c>
      <c r="H7" s="48">
        <f>H5*H6*'⚙️ Hypothèses'!B29</f>
        <v>1920.0000000000002</v>
      </c>
      <c r="I7" s="48">
        <f>I5*I6*'⚙️ Hypothèses'!B29</f>
        <v>1920.0000000000002</v>
      </c>
      <c r="J7" s="48">
        <f>J5*J6*'⚙️ Hypothèses'!B29</f>
        <v>1920.0000000000002</v>
      </c>
      <c r="K7" s="48">
        <f>K5*K6*'⚙️ Hypothèses'!B29</f>
        <v>2112.0000000000005</v>
      </c>
      <c r="L7" s="48">
        <f>L5*L6*'⚙️ Hypothèses'!B29</f>
        <v>2112.0000000000005</v>
      </c>
      <c r="M7" s="48">
        <f>M5*M6*'⚙️ Hypothèses'!B29</f>
        <v>2112.0000000000005</v>
      </c>
      <c r="N7" s="18">
        <f>SUM(B7:M7)</f>
        <v>21888</v>
      </c>
    </row>
    <row r="8" spans="1:14" ht="21.75" customHeight="1" x14ac:dyDescent="0.3">
      <c r="A8" s="3" t="s">
        <v>97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9.5" customHeight="1" x14ac:dyDescent="0.3">
      <c r="A9" s="16" t="s">
        <v>98</v>
      </c>
      <c r="B9" s="17">
        <f>'⚙️ Hypothèses'!B20</f>
        <v>200</v>
      </c>
      <c r="C9" s="17">
        <f>'⚙️ Hypothèses'!B20</f>
        <v>200</v>
      </c>
      <c r="D9" s="17">
        <f>'⚙️ Hypothèses'!B20</f>
        <v>200</v>
      </c>
      <c r="E9" s="17">
        <f>'⚙️ Hypothèses'!B20</f>
        <v>200</v>
      </c>
      <c r="F9" s="17">
        <f>'⚙️ Hypothèses'!B20</f>
        <v>200</v>
      </c>
      <c r="G9" s="17">
        <f>'⚙️ Hypothèses'!B20</f>
        <v>200</v>
      </c>
      <c r="H9" s="17">
        <f>'⚙️ Hypothèses'!B20</f>
        <v>200</v>
      </c>
      <c r="I9" s="17">
        <f>'⚙️ Hypothèses'!B20</f>
        <v>200</v>
      </c>
      <c r="J9" s="17">
        <f>'⚙️ Hypothèses'!B20</f>
        <v>200</v>
      </c>
      <c r="K9" s="17">
        <f>'⚙️ Hypothèses'!B20</f>
        <v>200</v>
      </c>
      <c r="L9" s="17">
        <f>'⚙️ Hypothèses'!B20</f>
        <v>200</v>
      </c>
      <c r="M9" s="17">
        <f>'⚙️ Hypothèses'!B20</f>
        <v>200</v>
      </c>
      <c r="N9" s="18">
        <f t="shared" ref="N9:N17" si="0">SUM(B9:M9)</f>
        <v>2400</v>
      </c>
    </row>
    <row r="10" spans="1:14" ht="19.5" customHeight="1" x14ac:dyDescent="0.3">
      <c r="A10" s="16" t="s">
        <v>99</v>
      </c>
      <c r="B10" s="17">
        <f>'⚙️ Hypothèses'!B21</f>
        <v>150</v>
      </c>
      <c r="C10" s="17">
        <f>'⚙️ Hypothèses'!B21</f>
        <v>150</v>
      </c>
      <c r="D10" s="17">
        <f>'⚙️ Hypothèses'!B21</f>
        <v>150</v>
      </c>
      <c r="E10" s="17">
        <f>'⚙️ Hypothèses'!B21</f>
        <v>150</v>
      </c>
      <c r="F10" s="17">
        <f>'⚙️ Hypothèses'!B21</f>
        <v>150</v>
      </c>
      <c r="G10" s="17">
        <f>'⚙️ Hypothèses'!B21</f>
        <v>150</v>
      </c>
      <c r="H10" s="17">
        <f>'⚙️ Hypothèses'!B21</f>
        <v>150</v>
      </c>
      <c r="I10" s="17">
        <f>'⚙️ Hypothèses'!B21</f>
        <v>150</v>
      </c>
      <c r="J10" s="17">
        <f>'⚙️ Hypothèses'!B21</f>
        <v>150</v>
      </c>
      <c r="K10" s="17">
        <f>'⚙️ Hypothèses'!B21</f>
        <v>150</v>
      </c>
      <c r="L10" s="17">
        <f>'⚙️ Hypothèses'!B21</f>
        <v>150</v>
      </c>
      <c r="M10" s="17">
        <f>'⚙️ Hypothèses'!B21</f>
        <v>150</v>
      </c>
      <c r="N10" s="18">
        <f t="shared" si="0"/>
        <v>1800</v>
      </c>
    </row>
    <row r="11" spans="1:14" ht="19.5" customHeight="1" x14ac:dyDescent="0.3">
      <c r="A11" s="16" t="s">
        <v>100</v>
      </c>
      <c r="B11" s="17">
        <f>'⚙️ Hypothèses'!B22</f>
        <v>30</v>
      </c>
      <c r="C11" s="17">
        <f>'⚙️ Hypothèses'!B22</f>
        <v>30</v>
      </c>
      <c r="D11" s="17">
        <f>'⚙️ Hypothèses'!B22</f>
        <v>30</v>
      </c>
      <c r="E11" s="17">
        <f>'⚙️ Hypothèses'!B22</f>
        <v>30</v>
      </c>
      <c r="F11" s="17">
        <f>'⚙️ Hypothèses'!B22</f>
        <v>30</v>
      </c>
      <c r="G11" s="17">
        <f>'⚙️ Hypothèses'!B22</f>
        <v>30</v>
      </c>
      <c r="H11" s="17">
        <f>'⚙️ Hypothèses'!B22</f>
        <v>30</v>
      </c>
      <c r="I11" s="17">
        <f>'⚙️ Hypothèses'!B22</f>
        <v>30</v>
      </c>
      <c r="J11" s="17">
        <f>'⚙️ Hypothèses'!B22</f>
        <v>30</v>
      </c>
      <c r="K11" s="17">
        <f>'⚙️ Hypothèses'!B22</f>
        <v>30</v>
      </c>
      <c r="L11" s="17">
        <f>'⚙️ Hypothèses'!B22</f>
        <v>30</v>
      </c>
      <c r="M11" s="17">
        <f>'⚙️ Hypothèses'!B22</f>
        <v>30</v>
      </c>
      <c r="N11" s="18">
        <f t="shared" si="0"/>
        <v>360</v>
      </c>
    </row>
    <row r="12" spans="1:14" ht="19.5" customHeight="1" x14ac:dyDescent="0.3">
      <c r="A12" s="16" t="s">
        <v>101</v>
      </c>
      <c r="B12" s="17">
        <f>'⚙️ Hypothèses'!B23</f>
        <v>50</v>
      </c>
      <c r="C12" s="17">
        <f>'⚙️ Hypothèses'!B23</f>
        <v>50</v>
      </c>
      <c r="D12" s="17">
        <f>'⚙️ Hypothèses'!B23</f>
        <v>50</v>
      </c>
      <c r="E12" s="17">
        <f>'⚙️ Hypothèses'!B23</f>
        <v>50</v>
      </c>
      <c r="F12" s="17">
        <f>'⚙️ Hypothèses'!B23</f>
        <v>50</v>
      </c>
      <c r="G12" s="17">
        <f>'⚙️ Hypothèses'!B23</f>
        <v>50</v>
      </c>
      <c r="H12" s="17">
        <f>'⚙️ Hypothèses'!B23</f>
        <v>50</v>
      </c>
      <c r="I12" s="17">
        <f>'⚙️ Hypothèses'!B23</f>
        <v>50</v>
      </c>
      <c r="J12" s="17">
        <f>'⚙️ Hypothèses'!B23</f>
        <v>50</v>
      </c>
      <c r="K12" s="17">
        <f>'⚙️ Hypothèses'!B23</f>
        <v>50</v>
      </c>
      <c r="L12" s="17">
        <f>'⚙️ Hypothèses'!B23</f>
        <v>50</v>
      </c>
      <c r="M12" s="17">
        <f>'⚙️ Hypothèses'!B23</f>
        <v>50</v>
      </c>
      <c r="N12" s="18">
        <f t="shared" si="0"/>
        <v>600</v>
      </c>
    </row>
    <row r="13" spans="1:14" ht="19.5" customHeight="1" x14ac:dyDescent="0.3">
      <c r="A13" s="16" t="s">
        <v>102</v>
      </c>
      <c r="B13" s="17">
        <f>B7*'⚙️ Hypothèses'!B24</f>
        <v>325.63200000000006</v>
      </c>
      <c r="C13" s="17">
        <f>C7*'⚙️ Hypothèses'!B24</f>
        <v>325.63200000000006</v>
      </c>
      <c r="D13" s="17">
        <f>D7*'⚙️ Hypothèses'!B24</f>
        <v>325.63200000000006</v>
      </c>
      <c r="E13" s="17">
        <f>E7*'⚙️ Hypothèses'!B24</f>
        <v>366.33600000000001</v>
      </c>
      <c r="F13" s="17">
        <f>F7*'⚙️ Hypothèses'!B24</f>
        <v>366.33600000000001</v>
      </c>
      <c r="G13" s="17">
        <f>G7*'⚙️ Hypothèses'!B24</f>
        <v>366.33600000000001</v>
      </c>
      <c r="H13" s="17">
        <f>H7*'⚙️ Hypothèses'!B24</f>
        <v>407.04</v>
      </c>
      <c r="I13" s="17">
        <f>I7*'⚙️ Hypothèses'!B24</f>
        <v>407.04</v>
      </c>
      <c r="J13" s="17">
        <f>J7*'⚙️ Hypothèses'!B24</f>
        <v>407.04</v>
      </c>
      <c r="K13" s="17">
        <f>K7*'⚙️ Hypothèses'!B24</f>
        <v>447.74400000000009</v>
      </c>
      <c r="L13" s="17">
        <f>L7*'⚙️ Hypothèses'!B24</f>
        <v>447.74400000000009</v>
      </c>
      <c r="M13" s="17">
        <f>M7*'⚙️ Hypothèses'!B24</f>
        <v>447.74400000000009</v>
      </c>
      <c r="N13" s="18">
        <f t="shared" si="0"/>
        <v>4640.2560000000003</v>
      </c>
    </row>
    <row r="14" spans="1:14" ht="19.5" customHeight="1" x14ac:dyDescent="0.3">
      <c r="A14" s="49" t="s">
        <v>103</v>
      </c>
      <c r="B14" s="50">
        <f t="shared" ref="B14:M14" si="1">SUM(B9:B13)</f>
        <v>755.63200000000006</v>
      </c>
      <c r="C14" s="50">
        <f t="shared" si="1"/>
        <v>755.63200000000006</v>
      </c>
      <c r="D14" s="50">
        <f t="shared" si="1"/>
        <v>755.63200000000006</v>
      </c>
      <c r="E14" s="50">
        <f t="shared" si="1"/>
        <v>796.33600000000001</v>
      </c>
      <c r="F14" s="50">
        <f t="shared" si="1"/>
        <v>796.33600000000001</v>
      </c>
      <c r="G14" s="50">
        <f t="shared" si="1"/>
        <v>796.33600000000001</v>
      </c>
      <c r="H14" s="50">
        <f t="shared" si="1"/>
        <v>837.04</v>
      </c>
      <c r="I14" s="50">
        <f t="shared" si="1"/>
        <v>837.04</v>
      </c>
      <c r="J14" s="50">
        <f t="shared" si="1"/>
        <v>837.04</v>
      </c>
      <c r="K14" s="50">
        <f t="shared" si="1"/>
        <v>877.74400000000014</v>
      </c>
      <c r="L14" s="50">
        <f t="shared" si="1"/>
        <v>877.74400000000014</v>
      </c>
      <c r="M14" s="50">
        <f t="shared" si="1"/>
        <v>877.74400000000014</v>
      </c>
      <c r="N14" s="18">
        <f t="shared" si="0"/>
        <v>9800.2560000000012</v>
      </c>
    </row>
    <row r="15" spans="1:14" ht="19.5" customHeight="1" x14ac:dyDescent="0.3">
      <c r="A15" s="2" t="str">
        <f>IF('⚙️ Hypothèses'!B34="OUI","Versement libératoire IR (€)","Impôt sur revenu – prélèvement à la source (info)")</f>
        <v>Versement libératoire IR (€)</v>
      </c>
      <c r="B15" s="2">
        <f>IF('⚙️ Hypothèses'!B34="OUI",B7*'⚙️ Hypothèses'!B35,0)</f>
        <v>26.112000000000005</v>
      </c>
      <c r="C15" s="2">
        <f>IF('⚙️ Hypothèses'!B34="OUI",C7*'⚙️ Hypothèses'!B35,0)</f>
        <v>26.112000000000005</v>
      </c>
      <c r="D15" s="2">
        <f>IF('⚙️ Hypothèses'!B34="OUI",D7*'⚙️ Hypothèses'!B35,0)</f>
        <v>26.112000000000005</v>
      </c>
      <c r="E15" s="2">
        <f>IF('⚙️ Hypothèses'!B34="OUI",E7*'⚙️ Hypothèses'!B35,0)</f>
        <v>29.376000000000001</v>
      </c>
      <c r="F15" s="2">
        <f>IF('⚙️ Hypothèses'!B34="OUI",F7*'⚙️ Hypothèses'!B35,0)</f>
        <v>29.376000000000001</v>
      </c>
      <c r="G15" s="2">
        <f>IF('⚙️ Hypothèses'!B34="OUI",G7*'⚙️ Hypothèses'!B35,0)</f>
        <v>29.376000000000001</v>
      </c>
      <c r="H15" s="2">
        <f>IF('⚙️ Hypothèses'!B34="OUI",H7*'⚙️ Hypothèses'!B35,0)</f>
        <v>32.640000000000008</v>
      </c>
      <c r="I15" s="2">
        <f>IF('⚙️ Hypothèses'!B34="OUI",I7*'⚙️ Hypothèses'!B35,0)</f>
        <v>32.640000000000008</v>
      </c>
      <c r="J15" s="2">
        <f>IF('⚙️ Hypothèses'!B34="OUI",J7*'⚙️ Hypothèses'!B35,0)</f>
        <v>32.640000000000008</v>
      </c>
      <c r="K15" s="2">
        <f>IF('⚙️ Hypothèses'!B34="OUI",K7*'⚙️ Hypothèses'!B35,0)</f>
        <v>35.904000000000011</v>
      </c>
      <c r="L15" s="2">
        <f>IF('⚙️ Hypothèses'!B34="OUI",L7*'⚙️ Hypothèses'!B35,0)</f>
        <v>35.904000000000011</v>
      </c>
      <c r="M15" s="2">
        <f>IF('⚙️ Hypothèses'!B34="OUI",M7*'⚙️ Hypothèses'!B35,0)</f>
        <v>35.904000000000011</v>
      </c>
      <c r="N15" s="2">
        <f t="shared" si="0"/>
        <v>372.09600000000006</v>
      </c>
    </row>
    <row r="16" spans="1:14" ht="19.5" customHeight="1" x14ac:dyDescent="0.3">
      <c r="A16" s="51" t="s">
        <v>104</v>
      </c>
      <c r="B16" s="19">
        <f>'⚙️ Hypothèses'!B36*'⚙️ Hypothèses'!B38/12</f>
        <v>16.666666666666668</v>
      </c>
      <c r="C16" s="19">
        <f>'⚙️ Hypothèses'!B36*'⚙️ Hypothèses'!B38/12</f>
        <v>16.666666666666668</v>
      </c>
      <c r="D16" s="19">
        <f>'⚙️ Hypothèses'!B36*'⚙️ Hypothèses'!B38/12</f>
        <v>16.666666666666668</v>
      </c>
      <c r="E16" s="19">
        <f>'⚙️ Hypothèses'!B36*'⚙️ Hypothèses'!B38/12</f>
        <v>16.666666666666668</v>
      </c>
      <c r="F16" s="19">
        <f>'⚙️ Hypothèses'!B36*'⚙️ Hypothèses'!B38/12</f>
        <v>16.666666666666668</v>
      </c>
      <c r="G16" s="19">
        <f>'⚙️ Hypothèses'!B36*'⚙️ Hypothèses'!B38/12</f>
        <v>16.666666666666668</v>
      </c>
      <c r="H16" s="19">
        <f>'⚙️ Hypothèses'!B36*'⚙️ Hypothèses'!B38/12</f>
        <v>16.666666666666668</v>
      </c>
      <c r="I16" s="19">
        <f>'⚙️ Hypothèses'!B36*'⚙️ Hypothèses'!B38/12</f>
        <v>16.666666666666668</v>
      </c>
      <c r="J16" s="19">
        <f>'⚙️ Hypothèses'!B36*'⚙️ Hypothèses'!B38/12</f>
        <v>16.666666666666668</v>
      </c>
      <c r="K16" s="19">
        <f>'⚙️ Hypothèses'!B36*'⚙️ Hypothèses'!B38/12</f>
        <v>16.666666666666668</v>
      </c>
      <c r="L16" s="19">
        <f>'⚙️ Hypothèses'!B36*'⚙️ Hypothèses'!B38/12</f>
        <v>16.666666666666668</v>
      </c>
      <c r="M16" s="19">
        <f>'⚙️ Hypothèses'!B36*'⚙️ Hypothèses'!B38/12</f>
        <v>16.666666666666668</v>
      </c>
      <c r="N16" s="52">
        <f t="shared" si="0"/>
        <v>199.99999999999997</v>
      </c>
    </row>
    <row r="17" spans="1:14" ht="19.5" customHeight="1" x14ac:dyDescent="0.3">
      <c r="A17" s="53" t="s">
        <v>105</v>
      </c>
      <c r="B17" s="54">
        <f t="shared" ref="B17:M17" si="2">SUM(B9:B13)+B15+B16</f>
        <v>798.41066666666666</v>
      </c>
      <c r="C17" s="54">
        <f t="shared" si="2"/>
        <v>798.41066666666666</v>
      </c>
      <c r="D17" s="54">
        <f t="shared" si="2"/>
        <v>798.41066666666666</v>
      </c>
      <c r="E17" s="54">
        <f t="shared" si="2"/>
        <v>842.37866666666662</v>
      </c>
      <c r="F17" s="54">
        <f t="shared" si="2"/>
        <v>842.37866666666662</v>
      </c>
      <c r="G17" s="54">
        <f t="shared" si="2"/>
        <v>842.37866666666662</v>
      </c>
      <c r="H17" s="54">
        <f t="shared" si="2"/>
        <v>886.34666666666658</v>
      </c>
      <c r="I17" s="54">
        <f t="shared" si="2"/>
        <v>886.34666666666658</v>
      </c>
      <c r="J17" s="54">
        <f t="shared" si="2"/>
        <v>886.34666666666658</v>
      </c>
      <c r="K17" s="54">
        <f t="shared" si="2"/>
        <v>930.31466666666677</v>
      </c>
      <c r="L17" s="54">
        <f t="shared" si="2"/>
        <v>930.31466666666677</v>
      </c>
      <c r="M17" s="54">
        <f t="shared" si="2"/>
        <v>930.31466666666677</v>
      </c>
      <c r="N17" s="54">
        <f t="shared" si="0"/>
        <v>10372.351999999999</v>
      </c>
    </row>
    <row r="18" spans="1:14" ht="19.5" customHeight="1" x14ac:dyDescent="0.3">
      <c r="A18" s="1" t="str">
        <f>IF(N7&gt;'⚙️ Hypothèses'!B33,"🚨 CA dépasse 41 250 € – TVA obligatoire dès ce mois ! Facturer la TVA à 20%",IF(N7&gt;'⚙️ Hypothèses'!B32,"⚠️ CA entre 37 500 € et 41 250 € – Zone de tolérance TVA. Surveiller !","✅ Franchise TVA active – CA sous le seuil de " &amp; TEXT('⚙️ Hypothèses'!B32,"# ##0") &amp; " €"))</f>
        <v>✅ Franchise TVA active – CA sous le seuil de 37 500 €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1.75" customHeight="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3">
      <c r="A20" s="42" t="s">
        <v>106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spans="1:14" x14ac:dyDescent="0.3">
      <c r="A21" s="47" t="s">
        <v>107</v>
      </c>
      <c r="B21" s="48">
        <f t="shared" ref="B21:M21" si="3">B7-B17</f>
        <v>737.58933333333357</v>
      </c>
      <c r="C21" s="48">
        <f t="shared" si="3"/>
        <v>737.58933333333357</v>
      </c>
      <c r="D21" s="48">
        <f t="shared" si="3"/>
        <v>737.58933333333357</v>
      </c>
      <c r="E21" s="48">
        <f t="shared" si="3"/>
        <v>885.62133333333338</v>
      </c>
      <c r="F21" s="48">
        <f t="shared" si="3"/>
        <v>885.62133333333338</v>
      </c>
      <c r="G21" s="48">
        <f t="shared" si="3"/>
        <v>885.62133333333338</v>
      </c>
      <c r="H21" s="48">
        <f t="shared" si="3"/>
        <v>1033.6533333333336</v>
      </c>
      <c r="I21" s="48">
        <f t="shared" si="3"/>
        <v>1033.6533333333336</v>
      </c>
      <c r="J21" s="48">
        <f t="shared" si="3"/>
        <v>1033.6533333333336</v>
      </c>
      <c r="K21" s="48">
        <f t="shared" si="3"/>
        <v>1181.6853333333338</v>
      </c>
      <c r="L21" s="48">
        <f t="shared" si="3"/>
        <v>1181.6853333333338</v>
      </c>
      <c r="M21" s="48">
        <f t="shared" si="3"/>
        <v>1181.6853333333338</v>
      </c>
      <c r="N21" s="18">
        <f>SUM(B21:M21)</f>
        <v>11515.648000000005</v>
      </c>
    </row>
    <row r="22" spans="1:14" x14ac:dyDescent="0.3">
      <c r="A22" s="51" t="s">
        <v>120</v>
      </c>
      <c r="B22" s="19">
        <f>'📅 2026'!N22+B21</f>
        <v>737.58933333333357</v>
      </c>
      <c r="C22" s="19">
        <f t="shared" ref="C22:M22" si="4">B22+C21</f>
        <v>1475.1786666666671</v>
      </c>
      <c r="D22" s="19">
        <f t="shared" si="4"/>
        <v>2212.7680000000009</v>
      </c>
      <c r="E22" s="19">
        <f t="shared" si="4"/>
        <v>3098.3893333333344</v>
      </c>
      <c r="F22" s="19">
        <f t="shared" si="4"/>
        <v>3984.0106666666679</v>
      </c>
      <c r="G22" s="19">
        <f t="shared" si="4"/>
        <v>4869.6320000000014</v>
      </c>
      <c r="H22" s="19">
        <f t="shared" si="4"/>
        <v>5903.2853333333351</v>
      </c>
      <c r="I22" s="19">
        <f t="shared" si="4"/>
        <v>6936.9386666666687</v>
      </c>
      <c r="J22" s="19">
        <f t="shared" si="4"/>
        <v>7970.5920000000024</v>
      </c>
      <c r="K22" s="19">
        <f t="shared" si="4"/>
        <v>9152.2773333333353</v>
      </c>
      <c r="L22" s="19">
        <f t="shared" si="4"/>
        <v>10333.96266666667</v>
      </c>
      <c r="M22" s="19">
        <f t="shared" si="4"/>
        <v>11515.648000000005</v>
      </c>
      <c r="N22" s="18">
        <f>M22</f>
        <v>11515.648000000005</v>
      </c>
    </row>
    <row r="23" spans="1:14" x14ac:dyDescent="0.3">
      <c r="A23" s="28" t="s">
        <v>109</v>
      </c>
      <c r="B23" s="25">
        <f t="shared" ref="B23:N23" si="5">IF(B7=0,"-",B21/B7)</f>
        <v>0.48020138888888897</v>
      </c>
      <c r="C23" s="25">
        <f t="shared" si="5"/>
        <v>0.48020138888888897</v>
      </c>
      <c r="D23" s="25">
        <f t="shared" si="5"/>
        <v>0.48020138888888897</v>
      </c>
      <c r="E23" s="25">
        <f t="shared" si="5"/>
        <v>0.51251234567901238</v>
      </c>
      <c r="F23" s="25">
        <f t="shared" si="5"/>
        <v>0.51251234567901238</v>
      </c>
      <c r="G23" s="25">
        <f t="shared" si="5"/>
        <v>0.51251234567901238</v>
      </c>
      <c r="H23" s="25">
        <f t="shared" si="5"/>
        <v>0.53836111111111118</v>
      </c>
      <c r="I23" s="25">
        <f t="shared" si="5"/>
        <v>0.53836111111111118</v>
      </c>
      <c r="J23" s="25">
        <f t="shared" si="5"/>
        <v>0.53836111111111118</v>
      </c>
      <c r="K23" s="25">
        <f t="shared" si="5"/>
        <v>0.55951010101010112</v>
      </c>
      <c r="L23" s="25">
        <f t="shared" si="5"/>
        <v>0.55951010101010112</v>
      </c>
      <c r="M23" s="25">
        <f t="shared" si="5"/>
        <v>0.55951010101010112</v>
      </c>
      <c r="N23" s="26">
        <f t="shared" si="5"/>
        <v>0.52611695906432765</v>
      </c>
    </row>
    <row r="24" spans="1:14" s="63" customFormat="1" x14ac:dyDescent="0.3">
      <c r="A24" s="64" t="str">
        <f>IF(N7&gt;77700,"⚠️ Dépassement seuil micro-ent. !",IF(N7&gt;36800,"📢 Franchise TVA approchée","✅ Dans les seuils micro-entreprise"))</f>
        <v>✅ Dans les seuils micro-entreprise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</row>
    <row r="25" spans="1:14" s="63" customFormat="1" x14ac:dyDescent="0.3"/>
    <row r="26" spans="1:14" s="63" customFormat="1" x14ac:dyDescent="0.3"/>
    <row r="27" spans="1:14" s="63" customFormat="1" x14ac:dyDescent="0.3"/>
    <row r="28" spans="1:14" s="63" customFormat="1" x14ac:dyDescent="0.3"/>
    <row r="29" spans="1:14" s="63" customFormat="1" x14ac:dyDescent="0.3"/>
    <row r="30" spans="1:14" s="63" customFormat="1" x14ac:dyDescent="0.3"/>
    <row r="31" spans="1:14" s="63" customFormat="1" x14ac:dyDescent="0.3"/>
    <row r="32" spans="1:14" s="63" customFormat="1" x14ac:dyDescent="0.3"/>
    <row r="33" s="63" customFormat="1" x14ac:dyDescent="0.3"/>
    <row r="34" s="63" customFormat="1" x14ac:dyDescent="0.3"/>
    <row r="35" s="63" customFormat="1" x14ac:dyDescent="0.3"/>
    <row r="36" s="63" customFormat="1" x14ac:dyDescent="0.3"/>
    <row r="37" s="63" customFormat="1" x14ac:dyDescent="0.3"/>
    <row r="38" s="63" customFormat="1" x14ac:dyDescent="0.3"/>
    <row r="39" s="63" customFormat="1" x14ac:dyDescent="0.3"/>
    <row r="40" s="63" customFormat="1" x14ac:dyDescent="0.3"/>
    <row r="41" s="63" customFormat="1" x14ac:dyDescent="0.3"/>
    <row r="42" s="63" customFormat="1" x14ac:dyDescent="0.3"/>
    <row r="43" s="63" customFormat="1" x14ac:dyDescent="0.3"/>
    <row r="44" s="63" customFormat="1" x14ac:dyDescent="0.3"/>
    <row r="45" s="63" customFormat="1" x14ac:dyDescent="0.3"/>
    <row r="46" s="63" customFormat="1" x14ac:dyDescent="0.3"/>
    <row r="47" s="63" customFormat="1" x14ac:dyDescent="0.3"/>
    <row r="48" s="63" customFormat="1" x14ac:dyDescent="0.3"/>
    <row r="49" s="63" customFormat="1" x14ac:dyDescent="0.3"/>
    <row r="50" s="63" customFormat="1" x14ac:dyDescent="0.3"/>
    <row r="51" s="63" customFormat="1" x14ac:dyDescent="0.3"/>
    <row r="52" s="63" customFormat="1" x14ac:dyDescent="0.3"/>
    <row r="53" s="63" customFormat="1" x14ac:dyDescent="0.3"/>
    <row r="54" s="63" customFormat="1" x14ac:dyDescent="0.3"/>
    <row r="55" s="63" customFormat="1" x14ac:dyDescent="0.3"/>
    <row r="56" s="63" customFormat="1" x14ac:dyDescent="0.3"/>
    <row r="57" s="63" customFormat="1" x14ac:dyDescent="0.3"/>
    <row r="58" s="63" customFormat="1" x14ac:dyDescent="0.3"/>
    <row r="59" s="63" customFormat="1" x14ac:dyDescent="0.3"/>
    <row r="60" s="63" customFormat="1" x14ac:dyDescent="0.3"/>
    <row r="61" s="63" customFormat="1" x14ac:dyDescent="0.3"/>
    <row r="62" s="63" customFormat="1" x14ac:dyDescent="0.3"/>
    <row r="63" s="63" customFormat="1" x14ac:dyDescent="0.3"/>
    <row r="64" s="63" customFormat="1" x14ac:dyDescent="0.3"/>
    <row r="65" s="63" customFormat="1" x14ac:dyDescent="0.3"/>
    <row r="66" s="63" customFormat="1" x14ac:dyDescent="0.3"/>
    <row r="67" s="63" customFormat="1" x14ac:dyDescent="0.3"/>
    <row r="68" s="63" customFormat="1" x14ac:dyDescent="0.3"/>
    <row r="69" s="63" customFormat="1" x14ac:dyDescent="0.3"/>
    <row r="70" s="63" customFormat="1" x14ac:dyDescent="0.3"/>
    <row r="71" s="63" customFormat="1" x14ac:dyDescent="0.3"/>
    <row r="72" s="63" customFormat="1" x14ac:dyDescent="0.3"/>
    <row r="73" s="63" customFormat="1" x14ac:dyDescent="0.3"/>
    <row r="74" s="63" customFormat="1" x14ac:dyDescent="0.3"/>
    <row r="75" s="63" customFormat="1" x14ac:dyDescent="0.3"/>
    <row r="76" s="63" customFormat="1" x14ac:dyDescent="0.3"/>
    <row r="77" s="63" customFormat="1" x14ac:dyDescent="0.3"/>
    <row r="78" s="63" customFormat="1" x14ac:dyDescent="0.3"/>
    <row r="79" s="63" customFormat="1" x14ac:dyDescent="0.3"/>
    <row r="80" s="63" customFormat="1" x14ac:dyDescent="0.3"/>
    <row r="81" s="63" customFormat="1" x14ac:dyDescent="0.3"/>
    <row r="82" s="63" customFormat="1" x14ac:dyDescent="0.3"/>
    <row r="83" s="63" customFormat="1" x14ac:dyDescent="0.3"/>
    <row r="84" s="63" customFormat="1" x14ac:dyDescent="0.3"/>
    <row r="85" s="63" customFormat="1" x14ac:dyDescent="0.3"/>
    <row r="86" s="63" customFormat="1" x14ac:dyDescent="0.3"/>
    <row r="87" s="63" customFormat="1" x14ac:dyDescent="0.3"/>
    <row r="88" s="63" customFormat="1" x14ac:dyDescent="0.3"/>
    <row r="89" s="63" customFormat="1" x14ac:dyDescent="0.3"/>
    <row r="90" s="63" customFormat="1" x14ac:dyDescent="0.3"/>
    <row r="91" s="63" customFormat="1" x14ac:dyDescent="0.3"/>
    <row r="92" s="63" customFormat="1" x14ac:dyDescent="0.3"/>
    <row r="93" s="63" customFormat="1" x14ac:dyDescent="0.3"/>
    <row r="94" s="63" customFormat="1" x14ac:dyDescent="0.3"/>
    <row r="95" s="63" customFormat="1" x14ac:dyDescent="0.3"/>
    <row r="96" s="63" customFormat="1" x14ac:dyDescent="0.3"/>
    <row r="97" s="63" customFormat="1" x14ac:dyDescent="0.3"/>
    <row r="98" s="63" customFormat="1" x14ac:dyDescent="0.3"/>
  </sheetData>
  <mergeCells count="7">
    <mergeCell ref="A18:N18"/>
    <mergeCell ref="A19:N19"/>
    <mergeCell ref="A1:N1"/>
    <mergeCell ref="A2:N2"/>
    <mergeCell ref="A4:N4"/>
    <mergeCell ref="A8:N8"/>
    <mergeCell ref="A15:N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B5230"/>
  </sheetPr>
  <dimension ref="A1:AV58"/>
  <sheetViews>
    <sheetView zoomScale="90" zoomScaleNormal="90" workbookViewId="0">
      <selection activeCell="G25" sqref="A25:XFD58"/>
    </sheetView>
  </sheetViews>
  <sheetFormatPr baseColWidth="10" defaultColWidth="8.6640625" defaultRowHeight="14.4" x14ac:dyDescent="0.3"/>
  <cols>
    <col min="1" max="1" width="36" customWidth="1"/>
    <col min="2" max="14" width="14" customWidth="1"/>
    <col min="15" max="15" width="14" style="63" customWidth="1"/>
    <col min="16" max="48" width="8.6640625" style="63"/>
  </cols>
  <sheetData>
    <row r="1" spans="1:14" ht="37.5" customHeight="1" x14ac:dyDescent="0.3">
      <c r="A1" s="4" t="s">
        <v>121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5.75" customHeight="1" x14ac:dyDescent="0.3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25.5" customHeight="1" x14ac:dyDescent="0.3">
      <c r="A3" s="39" t="s">
        <v>87</v>
      </c>
      <c r="B3" s="40" t="s">
        <v>111</v>
      </c>
      <c r="C3" s="40" t="s">
        <v>112</v>
      </c>
      <c r="D3" s="40" t="s">
        <v>113</v>
      </c>
      <c r="E3" s="40" t="s">
        <v>114</v>
      </c>
      <c r="F3" s="40" t="s">
        <v>115</v>
      </c>
      <c r="G3" s="40" t="s">
        <v>116</v>
      </c>
      <c r="H3" s="40" t="s">
        <v>117</v>
      </c>
      <c r="I3" s="40" t="s">
        <v>118</v>
      </c>
      <c r="J3" s="40" t="s">
        <v>88</v>
      </c>
      <c r="K3" s="40" t="s">
        <v>89</v>
      </c>
      <c r="L3" s="40" t="s">
        <v>90</v>
      </c>
      <c r="M3" s="40" t="s">
        <v>91</v>
      </c>
      <c r="N3" s="41" t="s">
        <v>122</v>
      </c>
    </row>
    <row r="4" spans="1:14" ht="21.75" customHeight="1" x14ac:dyDescent="0.3">
      <c r="A4" s="3" t="s">
        <v>93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9.5" customHeight="1" x14ac:dyDescent="0.3">
      <c r="A5" s="43" t="s">
        <v>94</v>
      </c>
      <c r="B5" s="57">
        <v>10</v>
      </c>
      <c r="C5" s="57">
        <v>10</v>
      </c>
      <c r="D5" s="57">
        <v>10</v>
      </c>
      <c r="E5" s="57">
        <v>11</v>
      </c>
      <c r="F5" s="57">
        <v>11</v>
      </c>
      <c r="G5" s="57">
        <v>11</v>
      </c>
      <c r="H5" s="57">
        <v>12</v>
      </c>
      <c r="I5" s="57">
        <v>12</v>
      </c>
      <c r="J5" s="57">
        <v>12</v>
      </c>
      <c r="K5" s="57">
        <v>13</v>
      </c>
      <c r="L5" s="57">
        <v>13</v>
      </c>
      <c r="M5" s="57">
        <v>13</v>
      </c>
      <c r="N5" s="23">
        <f>SUM(B5:M5)</f>
        <v>138</v>
      </c>
    </row>
    <row r="6" spans="1:14" ht="19.5" customHeight="1" x14ac:dyDescent="0.3">
      <c r="A6" s="28" t="s">
        <v>95</v>
      </c>
      <c r="B6" s="45">
        <f>'⚙️ Hypothèses'!B10*'⚙️ Hypothèses'!B18</f>
        <v>4.8000000000000007</v>
      </c>
      <c r="C6" s="45">
        <f>'⚙️ Hypothèses'!B10*'⚙️ Hypothèses'!B18</f>
        <v>4.8000000000000007</v>
      </c>
      <c r="D6" s="45">
        <f>'⚙️ Hypothèses'!B10*'⚙️ Hypothèses'!B18</f>
        <v>4.8000000000000007</v>
      </c>
      <c r="E6" s="45">
        <f>'⚙️ Hypothèses'!B10*'⚙️ Hypothèses'!B18</f>
        <v>4.8000000000000007</v>
      </c>
      <c r="F6" s="45">
        <f>'⚙️ Hypothèses'!B10*'⚙️ Hypothèses'!B18</f>
        <v>4.8000000000000007</v>
      </c>
      <c r="G6" s="45">
        <f>'⚙️ Hypothèses'!B10*'⚙️ Hypothèses'!B18</f>
        <v>4.8000000000000007</v>
      </c>
      <c r="H6" s="45">
        <f>'⚙️ Hypothèses'!B10*'⚙️ Hypothèses'!B18</f>
        <v>4.8000000000000007</v>
      </c>
      <c r="I6" s="45">
        <f>'⚙️ Hypothèses'!B10*'⚙️ Hypothèses'!B18</f>
        <v>4.8000000000000007</v>
      </c>
      <c r="J6" s="45">
        <f>'⚙️ Hypothèses'!B10*'⚙️ Hypothèses'!B18</f>
        <v>4.8000000000000007</v>
      </c>
      <c r="K6" s="45">
        <f>'⚙️ Hypothèses'!B10*'⚙️ Hypothèses'!B18</f>
        <v>4.8000000000000007</v>
      </c>
      <c r="L6" s="45">
        <f>'⚙️ Hypothèses'!B10*'⚙️ Hypothèses'!B18</f>
        <v>4.8000000000000007</v>
      </c>
      <c r="M6" s="45">
        <f>'⚙️ Hypothèses'!B10*'⚙️ Hypothèses'!B18</f>
        <v>4.8000000000000007</v>
      </c>
      <c r="N6" s="46">
        <f>AVERAGE(B6:M6)</f>
        <v>4.8</v>
      </c>
    </row>
    <row r="7" spans="1:14" ht="19.5" customHeight="1" x14ac:dyDescent="0.3">
      <c r="A7" s="47" t="s">
        <v>96</v>
      </c>
      <c r="B7" s="48">
        <f>B5*B6*'⚙️ Hypothèses'!B29</f>
        <v>1920.0000000000002</v>
      </c>
      <c r="C7" s="48">
        <f>C5*C6*'⚙️ Hypothèses'!B29</f>
        <v>1920.0000000000002</v>
      </c>
      <c r="D7" s="48">
        <f>D5*D6*'⚙️ Hypothèses'!B29</f>
        <v>1920.0000000000002</v>
      </c>
      <c r="E7" s="48">
        <f>E5*E6*'⚙️ Hypothèses'!B29</f>
        <v>2112.0000000000005</v>
      </c>
      <c r="F7" s="48">
        <f>F5*F6*'⚙️ Hypothèses'!B29</f>
        <v>2112.0000000000005</v>
      </c>
      <c r="G7" s="48">
        <f>G5*G6*'⚙️ Hypothèses'!B29</f>
        <v>2112.0000000000005</v>
      </c>
      <c r="H7" s="48">
        <f>H5*H6*'⚙️ Hypothèses'!B29</f>
        <v>2304.0000000000005</v>
      </c>
      <c r="I7" s="48">
        <f>I5*I6*'⚙️ Hypothèses'!B29</f>
        <v>2304.0000000000005</v>
      </c>
      <c r="J7" s="48">
        <f>J5*J6*'⚙️ Hypothèses'!B29</f>
        <v>2304.0000000000005</v>
      </c>
      <c r="K7" s="48">
        <f>K5*K6*'⚙️ Hypothèses'!B29</f>
        <v>2496</v>
      </c>
      <c r="L7" s="48">
        <f>L5*L6*'⚙️ Hypothèses'!B29</f>
        <v>2496</v>
      </c>
      <c r="M7" s="48">
        <f>M5*M6*'⚙️ Hypothèses'!B29</f>
        <v>2496</v>
      </c>
      <c r="N7" s="18">
        <f>SUM(B7:M7)</f>
        <v>26496.000000000004</v>
      </c>
    </row>
    <row r="8" spans="1:14" ht="21.75" customHeight="1" x14ac:dyDescent="0.3">
      <c r="A8" s="3" t="s">
        <v>97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9.5" customHeight="1" x14ac:dyDescent="0.3">
      <c r="A9" s="16" t="s">
        <v>98</v>
      </c>
      <c r="B9" s="17">
        <f>'⚙️ Hypothèses'!B20</f>
        <v>200</v>
      </c>
      <c r="C9" s="17">
        <f>'⚙️ Hypothèses'!B20</f>
        <v>200</v>
      </c>
      <c r="D9" s="17">
        <f>'⚙️ Hypothèses'!B20</f>
        <v>200</v>
      </c>
      <c r="E9" s="17">
        <f>'⚙️ Hypothèses'!B20</f>
        <v>200</v>
      </c>
      <c r="F9" s="17">
        <f>'⚙️ Hypothèses'!B20</f>
        <v>200</v>
      </c>
      <c r="G9" s="17">
        <f>'⚙️ Hypothèses'!B20</f>
        <v>200</v>
      </c>
      <c r="H9" s="17">
        <f>'⚙️ Hypothèses'!B20</f>
        <v>200</v>
      </c>
      <c r="I9" s="17">
        <f>'⚙️ Hypothèses'!B20</f>
        <v>200</v>
      </c>
      <c r="J9" s="17">
        <f>'⚙️ Hypothèses'!B20</f>
        <v>200</v>
      </c>
      <c r="K9" s="17">
        <f>'⚙️ Hypothèses'!B20</f>
        <v>200</v>
      </c>
      <c r="L9" s="17">
        <f>'⚙️ Hypothèses'!B20</f>
        <v>200</v>
      </c>
      <c r="M9" s="17">
        <f>'⚙️ Hypothèses'!B20</f>
        <v>200</v>
      </c>
      <c r="N9" s="18">
        <f t="shared" ref="N9:N17" si="0">SUM(B9:M9)</f>
        <v>2400</v>
      </c>
    </row>
    <row r="10" spans="1:14" ht="19.5" customHeight="1" x14ac:dyDescent="0.3">
      <c r="A10" s="16" t="s">
        <v>99</v>
      </c>
      <c r="B10" s="17">
        <f>'⚙️ Hypothèses'!B21</f>
        <v>150</v>
      </c>
      <c r="C10" s="17">
        <f>'⚙️ Hypothèses'!B21</f>
        <v>150</v>
      </c>
      <c r="D10" s="17">
        <f>'⚙️ Hypothèses'!B21</f>
        <v>150</v>
      </c>
      <c r="E10" s="17">
        <f>'⚙️ Hypothèses'!B21</f>
        <v>150</v>
      </c>
      <c r="F10" s="17">
        <f>'⚙️ Hypothèses'!B21</f>
        <v>150</v>
      </c>
      <c r="G10" s="17">
        <f>'⚙️ Hypothèses'!B21</f>
        <v>150</v>
      </c>
      <c r="H10" s="17">
        <f>'⚙️ Hypothèses'!B21</f>
        <v>150</v>
      </c>
      <c r="I10" s="17">
        <f>'⚙️ Hypothèses'!B21</f>
        <v>150</v>
      </c>
      <c r="J10" s="17">
        <f>'⚙️ Hypothèses'!B21</f>
        <v>150</v>
      </c>
      <c r="K10" s="17">
        <f>'⚙️ Hypothèses'!B21</f>
        <v>150</v>
      </c>
      <c r="L10" s="17">
        <f>'⚙️ Hypothèses'!B21</f>
        <v>150</v>
      </c>
      <c r="M10" s="17">
        <f>'⚙️ Hypothèses'!B21</f>
        <v>150</v>
      </c>
      <c r="N10" s="18">
        <f t="shared" si="0"/>
        <v>1800</v>
      </c>
    </row>
    <row r="11" spans="1:14" ht="19.5" customHeight="1" x14ac:dyDescent="0.3">
      <c r="A11" s="16" t="s">
        <v>100</v>
      </c>
      <c r="B11" s="17">
        <f>'⚙️ Hypothèses'!B22</f>
        <v>30</v>
      </c>
      <c r="C11" s="17">
        <f>'⚙️ Hypothèses'!B22</f>
        <v>30</v>
      </c>
      <c r="D11" s="17">
        <f>'⚙️ Hypothèses'!B22</f>
        <v>30</v>
      </c>
      <c r="E11" s="17">
        <f>'⚙️ Hypothèses'!B22</f>
        <v>30</v>
      </c>
      <c r="F11" s="17">
        <f>'⚙️ Hypothèses'!B22</f>
        <v>30</v>
      </c>
      <c r="G11" s="17">
        <f>'⚙️ Hypothèses'!B22</f>
        <v>30</v>
      </c>
      <c r="H11" s="17">
        <f>'⚙️ Hypothèses'!B22</f>
        <v>30</v>
      </c>
      <c r="I11" s="17">
        <f>'⚙️ Hypothèses'!B22</f>
        <v>30</v>
      </c>
      <c r="J11" s="17">
        <f>'⚙️ Hypothèses'!B22</f>
        <v>30</v>
      </c>
      <c r="K11" s="17">
        <f>'⚙️ Hypothèses'!B22</f>
        <v>30</v>
      </c>
      <c r="L11" s="17">
        <f>'⚙️ Hypothèses'!B22</f>
        <v>30</v>
      </c>
      <c r="M11" s="17">
        <f>'⚙️ Hypothèses'!B22</f>
        <v>30</v>
      </c>
      <c r="N11" s="18">
        <f t="shared" si="0"/>
        <v>360</v>
      </c>
    </row>
    <row r="12" spans="1:14" ht="19.5" customHeight="1" x14ac:dyDescent="0.3">
      <c r="A12" s="16" t="s">
        <v>101</v>
      </c>
      <c r="B12" s="17">
        <f>'⚙️ Hypothèses'!B23</f>
        <v>50</v>
      </c>
      <c r="C12" s="17">
        <f>'⚙️ Hypothèses'!B23</f>
        <v>50</v>
      </c>
      <c r="D12" s="17">
        <f>'⚙️ Hypothèses'!B23</f>
        <v>50</v>
      </c>
      <c r="E12" s="17">
        <f>'⚙️ Hypothèses'!B23</f>
        <v>50</v>
      </c>
      <c r="F12" s="17">
        <f>'⚙️ Hypothèses'!B23</f>
        <v>50</v>
      </c>
      <c r="G12" s="17">
        <f>'⚙️ Hypothèses'!B23</f>
        <v>50</v>
      </c>
      <c r="H12" s="17">
        <f>'⚙️ Hypothèses'!B23</f>
        <v>50</v>
      </c>
      <c r="I12" s="17">
        <f>'⚙️ Hypothèses'!B23</f>
        <v>50</v>
      </c>
      <c r="J12" s="17">
        <f>'⚙️ Hypothèses'!B23</f>
        <v>50</v>
      </c>
      <c r="K12" s="17">
        <f>'⚙️ Hypothèses'!B23</f>
        <v>50</v>
      </c>
      <c r="L12" s="17">
        <f>'⚙️ Hypothèses'!B23</f>
        <v>50</v>
      </c>
      <c r="M12" s="17">
        <f>'⚙️ Hypothèses'!B23</f>
        <v>50</v>
      </c>
      <c r="N12" s="18">
        <f t="shared" si="0"/>
        <v>600</v>
      </c>
    </row>
    <row r="13" spans="1:14" ht="19.5" customHeight="1" x14ac:dyDescent="0.3">
      <c r="A13" s="16" t="s">
        <v>102</v>
      </c>
      <c r="B13" s="17">
        <f>B7*'⚙️ Hypothèses'!B24</f>
        <v>407.04</v>
      </c>
      <c r="C13" s="17">
        <f>C7*'⚙️ Hypothèses'!B24</f>
        <v>407.04</v>
      </c>
      <c r="D13" s="17">
        <f>D7*'⚙️ Hypothèses'!B24</f>
        <v>407.04</v>
      </c>
      <c r="E13" s="17">
        <f>E7*'⚙️ Hypothèses'!B24</f>
        <v>447.74400000000009</v>
      </c>
      <c r="F13" s="17">
        <f>F7*'⚙️ Hypothèses'!B24</f>
        <v>447.74400000000009</v>
      </c>
      <c r="G13" s="17">
        <f>G7*'⚙️ Hypothèses'!B24</f>
        <v>447.74400000000009</v>
      </c>
      <c r="H13" s="17">
        <f>H7*'⚙️ Hypothèses'!B24</f>
        <v>488.44800000000009</v>
      </c>
      <c r="I13" s="17">
        <f>I7*'⚙️ Hypothèses'!B24</f>
        <v>488.44800000000009</v>
      </c>
      <c r="J13" s="17">
        <f>J7*'⚙️ Hypothèses'!B24</f>
        <v>488.44800000000009</v>
      </c>
      <c r="K13" s="17">
        <f>K7*'⚙️ Hypothèses'!B24</f>
        <v>529.15199999999993</v>
      </c>
      <c r="L13" s="17">
        <f>L7*'⚙️ Hypothèses'!B24</f>
        <v>529.15199999999993</v>
      </c>
      <c r="M13" s="17">
        <f>M7*'⚙️ Hypothèses'!B24</f>
        <v>529.15199999999993</v>
      </c>
      <c r="N13" s="18">
        <f t="shared" si="0"/>
        <v>5617.152000000001</v>
      </c>
    </row>
    <row r="14" spans="1:14" ht="19.5" customHeight="1" x14ac:dyDescent="0.3">
      <c r="A14" s="49" t="s">
        <v>103</v>
      </c>
      <c r="B14" s="50">
        <f t="shared" ref="B14:M14" si="1">SUM(B9:B13)</f>
        <v>837.04</v>
      </c>
      <c r="C14" s="50">
        <f t="shared" si="1"/>
        <v>837.04</v>
      </c>
      <c r="D14" s="50">
        <f t="shared" si="1"/>
        <v>837.04</v>
      </c>
      <c r="E14" s="50">
        <f t="shared" si="1"/>
        <v>877.74400000000014</v>
      </c>
      <c r="F14" s="50">
        <f t="shared" si="1"/>
        <v>877.74400000000014</v>
      </c>
      <c r="G14" s="50">
        <f t="shared" si="1"/>
        <v>877.74400000000014</v>
      </c>
      <c r="H14" s="50">
        <f t="shared" si="1"/>
        <v>918.44800000000009</v>
      </c>
      <c r="I14" s="50">
        <f t="shared" si="1"/>
        <v>918.44800000000009</v>
      </c>
      <c r="J14" s="50">
        <f t="shared" si="1"/>
        <v>918.44800000000009</v>
      </c>
      <c r="K14" s="50">
        <f t="shared" si="1"/>
        <v>959.15199999999993</v>
      </c>
      <c r="L14" s="50">
        <f t="shared" si="1"/>
        <v>959.15199999999993</v>
      </c>
      <c r="M14" s="50">
        <f t="shared" si="1"/>
        <v>959.15199999999993</v>
      </c>
      <c r="N14" s="18">
        <f t="shared" si="0"/>
        <v>10777.152000000002</v>
      </c>
    </row>
    <row r="15" spans="1:14" ht="19.5" customHeight="1" x14ac:dyDescent="0.3">
      <c r="A15" s="2" t="str">
        <f>IF('⚙️ Hypothèses'!B34="OUI","Versement libératoire IR (€)","Impôt sur revenu – prélèvement à la source (info)")</f>
        <v>Versement libératoire IR (€)</v>
      </c>
      <c r="B15" s="2">
        <f>IF('⚙️ Hypothèses'!B34="OUI",B7*'⚙️ Hypothèses'!B35,0)</f>
        <v>32.640000000000008</v>
      </c>
      <c r="C15" s="2">
        <f>IF('⚙️ Hypothèses'!B34="OUI",C7*'⚙️ Hypothèses'!B35,0)</f>
        <v>32.640000000000008</v>
      </c>
      <c r="D15" s="2">
        <f>IF('⚙️ Hypothèses'!B34="OUI",D7*'⚙️ Hypothèses'!B35,0)</f>
        <v>32.640000000000008</v>
      </c>
      <c r="E15" s="2">
        <f>IF('⚙️ Hypothèses'!B34="OUI",E7*'⚙️ Hypothèses'!B35,0)</f>
        <v>35.904000000000011</v>
      </c>
      <c r="F15" s="2">
        <f>IF('⚙️ Hypothèses'!B34="OUI",F7*'⚙️ Hypothèses'!B35,0)</f>
        <v>35.904000000000011</v>
      </c>
      <c r="G15" s="2">
        <f>IF('⚙️ Hypothèses'!B34="OUI",G7*'⚙️ Hypothèses'!B35,0)</f>
        <v>35.904000000000011</v>
      </c>
      <c r="H15" s="2">
        <f>IF('⚙️ Hypothèses'!B34="OUI",H7*'⚙️ Hypothèses'!B35,0)</f>
        <v>39.168000000000013</v>
      </c>
      <c r="I15" s="2">
        <f>IF('⚙️ Hypothèses'!B34="OUI",I7*'⚙️ Hypothèses'!B35,0)</f>
        <v>39.168000000000013</v>
      </c>
      <c r="J15" s="2">
        <f>IF('⚙️ Hypothèses'!B34="OUI",J7*'⚙️ Hypothèses'!B35,0)</f>
        <v>39.168000000000013</v>
      </c>
      <c r="K15" s="2">
        <f>IF('⚙️ Hypothèses'!B34="OUI",K7*'⚙️ Hypothèses'!B35,0)</f>
        <v>42.432000000000002</v>
      </c>
      <c r="L15" s="2">
        <f>IF('⚙️ Hypothèses'!B34="OUI",L7*'⚙️ Hypothèses'!B35,0)</f>
        <v>42.432000000000002</v>
      </c>
      <c r="M15" s="2">
        <f>IF('⚙️ Hypothèses'!B34="OUI",M7*'⚙️ Hypothèses'!B35,0)</f>
        <v>42.432000000000002</v>
      </c>
      <c r="N15" s="2">
        <f t="shared" si="0"/>
        <v>450.43200000000007</v>
      </c>
    </row>
    <row r="16" spans="1:14" ht="19.5" customHeight="1" x14ac:dyDescent="0.3">
      <c r="A16" s="51" t="s">
        <v>104</v>
      </c>
      <c r="B16" s="19">
        <f>'⚙️ Hypothèses'!B36*'⚙️ Hypothèses'!B39/12</f>
        <v>33.333333333333336</v>
      </c>
      <c r="C16" s="19">
        <f>'⚙️ Hypothèses'!B36*'⚙️ Hypothèses'!B39/12</f>
        <v>33.333333333333336</v>
      </c>
      <c r="D16" s="19">
        <f>'⚙️ Hypothèses'!B36*'⚙️ Hypothèses'!B39/12</f>
        <v>33.333333333333336</v>
      </c>
      <c r="E16" s="19">
        <f>'⚙️ Hypothèses'!B36*'⚙️ Hypothèses'!B39/12</f>
        <v>33.333333333333336</v>
      </c>
      <c r="F16" s="19">
        <f>'⚙️ Hypothèses'!B36*'⚙️ Hypothèses'!B39/12</f>
        <v>33.333333333333336</v>
      </c>
      <c r="G16" s="19">
        <f>'⚙️ Hypothèses'!B36*'⚙️ Hypothèses'!B39/12</f>
        <v>33.333333333333336</v>
      </c>
      <c r="H16" s="19">
        <f>'⚙️ Hypothèses'!B36*'⚙️ Hypothèses'!B39/12</f>
        <v>33.333333333333336</v>
      </c>
      <c r="I16" s="19">
        <f>'⚙️ Hypothèses'!B36*'⚙️ Hypothèses'!B39/12</f>
        <v>33.333333333333336</v>
      </c>
      <c r="J16" s="19">
        <f>'⚙️ Hypothèses'!B36*'⚙️ Hypothèses'!B39/12</f>
        <v>33.333333333333336</v>
      </c>
      <c r="K16" s="19">
        <f>'⚙️ Hypothèses'!B36*'⚙️ Hypothèses'!B39/12</f>
        <v>33.333333333333336</v>
      </c>
      <c r="L16" s="19">
        <f>'⚙️ Hypothèses'!B36*'⚙️ Hypothèses'!B39/12</f>
        <v>33.333333333333336</v>
      </c>
      <c r="M16" s="19">
        <f>'⚙️ Hypothèses'!B36*'⚙️ Hypothèses'!B39/12</f>
        <v>33.333333333333336</v>
      </c>
      <c r="N16" s="52">
        <f t="shared" si="0"/>
        <v>399.99999999999994</v>
      </c>
    </row>
    <row r="17" spans="1:14" ht="19.5" customHeight="1" x14ac:dyDescent="0.3">
      <c r="A17" s="53" t="s">
        <v>105</v>
      </c>
      <c r="B17" s="54">
        <f t="shared" ref="B17:M17" si="2">SUM(B9:B13)+B15+B16</f>
        <v>903.01333333333332</v>
      </c>
      <c r="C17" s="54">
        <f t="shared" si="2"/>
        <v>903.01333333333332</v>
      </c>
      <c r="D17" s="54">
        <f t="shared" si="2"/>
        <v>903.01333333333332</v>
      </c>
      <c r="E17" s="54">
        <f t="shared" si="2"/>
        <v>946.98133333333351</v>
      </c>
      <c r="F17" s="54">
        <f t="shared" si="2"/>
        <v>946.98133333333351</v>
      </c>
      <c r="G17" s="54">
        <f t="shared" si="2"/>
        <v>946.98133333333351</v>
      </c>
      <c r="H17" s="54">
        <f t="shared" si="2"/>
        <v>990.94933333333347</v>
      </c>
      <c r="I17" s="54">
        <f t="shared" si="2"/>
        <v>990.94933333333347</v>
      </c>
      <c r="J17" s="54">
        <f t="shared" si="2"/>
        <v>990.94933333333347</v>
      </c>
      <c r="K17" s="54">
        <f t="shared" si="2"/>
        <v>1034.9173333333333</v>
      </c>
      <c r="L17" s="54">
        <f t="shared" si="2"/>
        <v>1034.9173333333333</v>
      </c>
      <c r="M17" s="54">
        <f t="shared" si="2"/>
        <v>1034.9173333333333</v>
      </c>
      <c r="N17" s="54">
        <f t="shared" si="0"/>
        <v>11627.584000000001</v>
      </c>
    </row>
    <row r="18" spans="1:14" ht="19.5" customHeight="1" x14ac:dyDescent="0.3">
      <c r="A18" s="1" t="str">
        <f>IF(N7&gt;'⚙️ Hypothèses'!B33,"🚨 CA dépasse 41 250 € – TVA obligatoire dès ce mois ! Facturer la TVA à 20%",IF(N7&gt;'⚙️ Hypothèses'!B32,"⚠️ CA entre 37 500 € et 41 250 € – Zone de tolérance TVA. Surveiller !","✅ Franchise TVA active – CA sous le seuil de " &amp; TEXT('⚙️ Hypothèses'!B32,"# ##0") &amp; " €"))</f>
        <v>✅ Franchise TVA active – CA sous le seuil de 37 500 €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1.75" customHeight="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3">
      <c r="A20" s="42" t="s">
        <v>106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spans="1:14" x14ac:dyDescent="0.3">
      <c r="A21" s="47" t="s">
        <v>107</v>
      </c>
      <c r="B21" s="48">
        <f t="shared" ref="B21:M21" si="3">B7-B17</f>
        <v>1016.9866666666669</v>
      </c>
      <c r="C21" s="48">
        <f t="shared" si="3"/>
        <v>1016.9866666666669</v>
      </c>
      <c r="D21" s="48">
        <f t="shared" si="3"/>
        <v>1016.9866666666669</v>
      </c>
      <c r="E21" s="48">
        <f t="shared" si="3"/>
        <v>1165.0186666666668</v>
      </c>
      <c r="F21" s="48">
        <f t="shared" si="3"/>
        <v>1165.0186666666668</v>
      </c>
      <c r="G21" s="48">
        <f t="shared" si="3"/>
        <v>1165.0186666666668</v>
      </c>
      <c r="H21" s="48">
        <f t="shared" si="3"/>
        <v>1313.050666666667</v>
      </c>
      <c r="I21" s="48">
        <f t="shared" si="3"/>
        <v>1313.050666666667</v>
      </c>
      <c r="J21" s="48">
        <f t="shared" si="3"/>
        <v>1313.050666666667</v>
      </c>
      <c r="K21" s="48">
        <f t="shared" si="3"/>
        <v>1461.0826666666667</v>
      </c>
      <c r="L21" s="48">
        <f t="shared" si="3"/>
        <v>1461.0826666666667</v>
      </c>
      <c r="M21" s="48">
        <f t="shared" si="3"/>
        <v>1461.0826666666667</v>
      </c>
      <c r="N21" s="18">
        <f>SUM(B21:M21)</f>
        <v>14868.416000000003</v>
      </c>
    </row>
    <row r="22" spans="1:14" x14ac:dyDescent="0.3">
      <c r="A22" s="51" t="s">
        <v>120</v>
      </c>
      <c r="B22" s="19">
        <f>'📅 2027'!N22+B21</f>
        <v>12532.634666666672</v>
      </c>
      <c r="C22" s="19">
        <f t="shared" ref="C22:M22" si="4">B22+C21</f>
        <v>13549.62133333334</v>
      </c>
      <c r="D22" s="19">
        <f t="shared" si="4"/>
        <v>14566.608000000007</v>
      </c>
      <c r="E22" s="19">
        <f t="shared" si="4"/>
        <v>15731.626666666674</v>
      </c>
      <c r="F22" s="19">
        <f t="shared" si="4"/>
        <v>16896.645333333341</v>
      </c>
      <c r="G22" s="19">
        <f t="shared" si="4"/>
        <v>18061.664000000008</v>
      </c>
      <c r="H22" s="19">
        <f t="shared" si="4"/>
        <v>19374.714666666674</v>
      </c>
      <c r="I22" s="19">
        <f t="shared" si="4"/>
        <v>20687.76533333334</v>
      </c>
      <c r="J22" s="19">
        <f t="shared" si="4"/>
        <v>22000.816000000006</v>
      </c>
      <c r="K22" s="19">
        <f t="shared" si="4"/>
        <v>23461.898666666671</v>
      </c>
      <c r="L22" s="19">
        <f t="shared" si="4"/>
        <v>24922.981333333337</v>
      </c>
      <c r="M22" s="19">
        <f t="shared" si="4"/>
        <v>26384.064000000002</v>
      </c>
      <c r="N22" s="18">
        <f>M22</f>
        <v>26384.064000000002</v>
      </c>
    </row>
    <row r="23" spans="1:14" x14ac:dyDescent="0.3">
      <c r="A23" s="28" t="s">
        <v>109</v>
      </c>
      <c r="B23" s="25">
        <f t="shared" ref="B23:N23" si="5">IF(B7=0,"-",B21/B7)</f>
        <v>0.5296805555555556</v>
      </c>
      <c r="C23" s="25">
        <f t="shared" si="5"/>
        <v>0.5296805555555556</v>
      </c>
      <c r="D23" s="25">
        <f t="shared" si="5"/>
        <v>0.5296805555555556</v>
      </c>
      <c r="E23" s="25">
        <f t="shared" si="5"/>
        <v>0.55161868686868687</v>
      </c>
      <c r="F23" s="25">
        <f t="shared" si="5"/>
        <v>0.55161868686868687</v>
      </c>
      <c r="G23" s="25">
        <f t="shared" si="5"/>
        <v>0.55161868686868687</v>
      </c>
      <c r="H23" s="25">
        <f t="shared" si="5"/>
        <v>0.56990046296296304</v>
      </c>
      <c r="I23" s="25">
        <f t="shared" si="5"/>
        <v>0.56990046296296304</v>
      </c>
      <c r="J23" s="25">
        <f t="shared" si="5"/>
        <v>0.56990046296296304</v>
      </c>
      <c r="K23" s="25">
        <f t="shared" si="5"/>
        <v>0.58536965811965813</v>
      </c>
      <c r="L23" s="25">
        <f t="shared" si="5"/>
        <v>0.58536965811965813</v>
      </c>
      <c r="M23" s="25">
        <f t="shared" si="5"/>
        <v>0.58536965811965813</v>
      </c>
      <c r="N23" s="26">
        <f t="shared" si="5"/>
        <v>0.5611570048309179</v>
      </c>
    </row>
    <row r="24" spans="1:14" x14ac:dyDescent="0.3">
      <c r="A24" s="55" t="str">
        <f>IF(N7&gt;77700,"⚠️ Dépassement seuil micro-ent. !",IF(N7&gt;36800,"📢 Franchise TVA approchée","✅ Dans les seuils micro-entreprise"))</f>
        <v>✅ Dans les seuils micro-entreprise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</row>
    <row r="25" spans="1:14" s="63" customFormat="1" x14ac:dyDescent="0.3"/>
    <row r="26" spans="1:14" s="63" customFormat="1" x14ac:dyDescent="0.3"/>
    <row r="27" spans="1:14" s="63" customFormat="1" x14ac:dyDescent="0.3"/>
    <row r="28" spans="1:14" s="63" customFormat="1" x14ac:dyDescent="0.3"/>
    <row r="29" spans="1:14" s="63" customFormat="1" x14ac:dyDescent="0.3"/>
    <row r="30" spans="1:14" s="63" customFormat="1" x14ac:dyDescent="0.3"/>
    <row r="31" spans="1:14" s="63" customFormat="1" x14ac:dyDescent="0.3"/>
    <row r="32" spans="1:14" s="63" customFormat="1" x14ac:dyDescent="0.3"/>
    <row r="33" s="63" customFormat="1" x14ac:dyDescent="0.3"/>
    <row r="34" s="63" customFormat="1" x14ac:dyDescent="0.3"/>
    <row r="35" s="63" customFormat="1" x14ac:dyDescent="0.3"/>
    <row r="36" s="63" customFormat="1" x14ac:dyDescent="0.3"/>
    <row r="37" s="63" customFormat="1" x14ac:dyDescent="0.3"/>
    <row r="38" s="63" customFormat="1" x14ac:dyDescent="0.3"/>
    <row r="39" s="63" customFormat="1" x14ac:dyDescent="0.3"/>
    <row r="40" s="63" customFormat="1" x14ac:dyDescent="0.3"/>
    <row r="41" s="63" customFormat="1" x14ac:dyDescent="0.3"/>
    <row r="42" s="63" customFormat="1" x14ac:dyDescent="0.3"/>
    <row r="43" s="63" customFormat="1" x14ac:dyDescent="0.3"/>
    <row r="44" s="63" customFormat="1" x14ac:dyDescent="0.3"/>
    <row r="45" s="63" customFormat="1" x14ac:dyDescent="0.3"/>
    <row r="46" s="63" customFormat="1" x14ac:dyDescent="0.3"/>
    <row r="47" s="63" customFormat="1" x14ac:dyDescent="0.3"/>
    <row r="48" s="63" customFormat="1" x14ac:dyDescent="0.3"/>
    <row r="49" s="63" customFormat="1" x14ac:dyDescent="0.3"/>
    <row r="50" s="63" customFormat="1" x14ac:dyDescent="0.3"/>
    <row r="51" s="63" customFormat="1" x14ac:dyDescent="0.3"/>
    <row r="52" s="63" customFormat="1" x14ac:dyDescent="0.3"/>
    <row r="53" s="63" customFormat="1" x14ac:dyDescent="0.3"/>
    <row r="54" s="63" customFormat="1" x14ac:dyDescent="0.3"/>
    <row r="55" s="63" customFormat="1" x14ac:dyDescent="0.3"/>
    <row r="56" s="63" customFormat="1" x14ac:dyDescent="0.3"/>
    <row r="57" s="63" customFormat="1" x14ac:dyDescent="0.3"/>
    <row r="58" s="63" customFormat="1" x14ac:dyDescent="0.3"/>
  </sheetData>
  <mergeCells count="7">
    <mergeCell ref="A18:N18"/>
    <mergeCell ref="A19:N19"/>
    <mergeCell ref="A1:N1"/>
    <mergeCell ref="A2:N2"/>
    <mergeCell ref="A4:N4"/>
    <mergeCell ref="A8:N8"/>
    <mergeCell ref="A15:N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C3D20"/>
  </sheetPr>
  <dimension ref="A1:AT110"/>
  <sheetViews>
    <sheetView zoomScale="90" zoomScaleNormal="90" workbookViewId="0">
      <selection activeCell="A25" sqref="A25:XFD110"/>
    </sheetView>
  </sheetViews>
  <sheetFormatPr baseColWidth="10" defaultColWidth="8.6640625" defaultRowHeight="14.4" x14ac:dyDescent="0.3"/>
  <cols>
    <col min="1" max="1" width="36" customWidth="1"/>
    <col min="2" max="14" width="14" customWidth="1"/>
    <col min="15" max="15" width="14" style="63" customWidth="1"/>
    <col min="16" max="46" width="8.6640625" style="63"/>
  </cols>
  <sheetData>
    <row r="1" spans="1:14" ht="37.5" customHeight="1" x14ac:dyDescent="0.3">
      <c r="A1" s="14" t="s">
        <v>123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5.75" customHeight="1" x14ac:dyDescent="0.3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25.5" customHeight="1" x14ac:dyDescent="0.3">
      <c r="A3" s="39" t="s">
        <v>87</v>
      </c>
      <c r="B3" s="40" t="s">
        <v>111</v>
      </c>
      <c r="C3" s="40" t="s">
        <v>112</v>
      </c>
      <c r="D3" s="40" t="s">
        <v>113</v>
      </c>
      <c r="E3" s="40" t="s">
        <v>114</v>
      </c>
      <c r="F3" s="40" t="s">
        <v>115</v>
      </c>
      <c r="G3" s="40" t="s">
        <v>116</v>
      </c>
      <c r="H3" s="40" t="s">
        <v>117</v>
      </c>
      <c r="I3" s="40" t="s">
        <v>118</v>
      </c>
      <c r="J3" s="40" t="s">
        <v>88</v>
      </c>
      <c r="K3" s="40" t="s">
        <v>89</v>
      </c>
      <c r="L3" s="40" t="s">
        <v>90</v>
      </c>
      <c r="M3" s="40" t="s">
        <v>91</v>
      </c>
      <c r="N3" s="41" t="s">
        <v>124</v>
      </c>
    </row>
    <row r="4" spans="1:14" ht="21.75" customHeight="1" x14ac:dyDescent="0.3">
      <c r="A4" s="61" t="s">
        <v>93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</row>
    <row r="5" spans="1:14" ht="19.5" customHeight="1" x14ac:dyDescent="0.3">
      <c r="A5" s="43" t="s">
        <v>94</v>
      </c>
      <c r="B5" s="57">
        <v>11</v>
      </c>
      <c r="C5" s="57">
        <v>11</v>
      </c>
      <c r="D5" s="57">
        <v>11</v>
      </c>
      <c r="E5" s="57">
        <v>11</v>
      </c>
      <c r="F5" s="57">
        <v>12</v>
      </c>
      <c r="G5" s="57">
        <v>12</v>
      </c>
      <c r="H5" s="57">
        <v>12</v>
      </c>
      <c r="I5" s="57">
        <v>12</v>
      </c>
      <c r="J5" s="57">
        <v>13</v>
      </c>
      <c r="K5" s="57">
        <v>13</v>
      </c>
      <c r="L5" s="57">
        <v>13</v>
      </c>
      <c r="M5" s="57">
        <v>13</v>
      </c>
      <c r="N5" s="23">
        <f>SUM(B5:M5)</f>
        <v>144</v>
      </c>
    </row>
    <row r="6" spans="1:14" ht="19.5" customHeight="1" x14ac:dyDescent="0.3">
      <c r="A6" s="28" t="s">
        <v>95</v>
      </c>
      <c r="B6" s="45">
        <f>'⚙️ Hypothèses'!B10*'⚙️ Hypothèses'!B18</f>
        <v>4.8000000000000007</v>
      </c>
      <c r="C6" s="45">
        <f>'⚙️ Hypothèses'!B10*'⚙️ Hypothèses'!B18</f>
        <v>4.8000000000000007</v>
      </c>
      <c r="D6" s="45">
        <f>'⚙️ Hypothèses'!B10*'⚙️ Hypothèses'!B18</f>
        <v>4.8000000000000007</v>
      </c>
      <c r="E6" s="45">
        <f>'⚙️ Hypothèses'!B10*'⚙️ Hypothèses'!B18</f>
        <v>4.8000000000000007</v>
      </c>
      <c r="F6" s="45">
        <f>'⚙️ Hypothèses'!B10*'⚙️ Hypothèses'!B18</f>
        <v>4.8000000000000007</v>
      </c>
      <c r="G6" s="45">
        <f>'⚙️ Hypothèses'!B10*'⚙️ Hypothèses'!B18</f>
        <v>4.8000000000000007</v>
      </c>
      <c r="H6" s="45">
        <f>'⚙️ Hypothèses'!B10*'⚙️ Hypothèses'!B18</f>
        <v>4.8000000000000007</v>
      </c>
      <c r="I6" s="45">
        <f>'⚙️ Hypothèses'!B10*'⚙️ Hypothèses'!B18</f>
        <v>4.8000000000000007</v>
      </c>
      <c r="J6" s="45">
        <f>'⚙️ Hypothèses'!B10*'⚙️ Hypothèses'!B18</f>
        <v>4.8000000000000007</v>
      </c>
      <c r="K6" s="45">
        <f>'⚙️ Hypothèses'!B10*'⚙️ Hypothèses'!B18</f>
        <v>4.8000000000000007</v>
      </c>
      <c r="L6" s="45">
        <f>'⚙️ Hypothèses'!B10*'⚙️ Hypothèses'!B18</f>
        <v>4.8000000000000007</v>
      </c>
      <c r="M6" s="45">
        <f>'⚙️ Hypothèses'!B10*'⚙️ Hypothèses'!B18</f>
        <v>4.8000000000000007</v>
      </c>
      <c r="N6" s="46">
        <f>AVERAGE(B6:M6)</f>
        <v>4.8</v>
      </c>
    </row>
    <row r="7" spans="1:14" ht="19.5" customHeight="1" x14ac:dyDescent="0.3">
      <c r="A7" s="47" t="s">
        <v>96</v>
      </c>
      <c r="B7" s="48">
        <f>B5*B6*'⚙️ Hypothèses'!B29</f>
        <v>2112.0000000000005</v>
      </c>
      <c r="C7" s="48">
        <f>C5*C6*'⚙️ Hypothèses'!B29</f>
        <v>2112.0000000000005</v>
      </c>
      <c r="D7" s="48">
        <f>D5*D6*'⚙️ Hypothèses'!B29</f>
        <v>2112.0000000000005</v>
      </c>
      <c r="E7" s="48">
        <f>E5*E6*'⚙️ Hypothèses'!B29</f>
        <v>2112.0000000000005</v>
      </c>
      <c r="F7" s="48">
        <f>F5*F6*'⚙️ Hypothèses'!B29</f>
        <v>2304.0000000000005</v>
      </c>
      <c r="G7" s="48">
        <f>G5*G6*'⚙️ Hypothèses'!B29</f>
        <v>2304.0000000000005</v>
      </c>
      <c r="H7" s="48">
        <f>H5*H6*'⚙️ Hypothèses'!B29</f>
        <v>2304.0000000000005</v>
      </c>
      <c r="I7" s="48">
        <f>I5*I6*'⚙️ Hypothèses'!B29</f>
        <v>2304.0000000000005</v>
      </c>
      <c r="J7" s="48">
        <f>J5*J6*'⚙️ Hypothèses'!B29</f>
        <v>2496</v>
      </c>
      <c r="K7" s="48">
        <f>K5*K6*'⚙️ Hypothèses'!B29</f>
        <v>2496</v>
      </c>
      <c r="L7" s="48">
        <f>L5*L6*'⚙️ Hypothèses'!B29</f>
        <v>2496</v>
      </c>
      <c r="M7" s="48">
        <f>M5*M6*'⚙️ Hypothèses'!B29</f>
        <v>2496</v>
      </c>
      <c r="N7" s="18">
        <f>SUM(B7:M7)</f>
        <v>27648.000000000004</v>
      </c>
    </row>
    <row r="8" spans="1:14" ht="21.75" customHeight="1" x14ac:dyDescent="0.3">
      <c r="A8" s="61" t="s">
        <v>97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</row>
    <row r="9" spans="1:14" ht="19.5" customHeight="1" x14ac:dyDescent="0.3">
      <c r="A9" s="16" t="s">
        <v>98</v>
      </c>
      <c r="B9" s="17">
        <f>'⚙️ Hypothèses'!B20</f>
        <v>200</v>
      </c>
      <c r="C9" s="17">
        <f>'⚙️ Hypothèses'!B20</f>
        <v>200</v>
      </c>
      <c r="D9" s="17">
        <f>'⚙️ Hypothèses'!B20</f>
        <v>200</v>
      </c>
      <c r="E9" s="17">
        <f>'⚙️ Hypothèses'!B20</f>
        <v>200</v>
      </c>
      <c r="F9" s="17">
        <f>'⚙️ Hypothèses'!B20</f>
        <v>200</v>
      </c>
      <c r="G9" s="17">
        <f>'⚙️ Hypothèses'!B20</f>
        <v>200</v>
      </c>
      <c r="H9" s="17">
        <f>'⚙️ Hypothèses'!B20</f>
        <v>200</v>
      </c>
      <c r="I9" s="17">
        <f>'⚙️ Hypothèses'!B20</f>
        <v>200</v>
      </c>
      <c r="J9" s="17">
        <f>'⚙️ Hypothèses'!B20</f>
        <v>200</v>
      </c>
      <c r="K9" s="17">
        <f>'⚙️ Hypothèses'!B20</f>
        <v>200</v>
      </c>
      <c r="L9" s="17">
        <f>'⚙️ Hypothèses'!B20</f>
        <v>200</v>
      </c>
      <c r="M9" s="17">
        <f>'⚙️ Hypothèses'!B20</f>
        <v>200</v>
      </c>
      <c r="N9" s="18">
        <f t="shared" ref="N9:N17" si="0">SUM(B9:M9)</f>
        <v>2400</v>
      </c>
    </row>
    <row r="10" spans="1:14" ht="19.5" customHeight="1" x14ac:dyDescent="0.3">
      <c r="A10" s="16" t="s">
        <v>99</v>
      </c>
      <c r="B10" s="17">
        <f>'⚙️ Hypothèses'!B21</f>
        <v>150</v>
      </c>
      <c r="C10" s="17">
        <f>'⚙️ Hypothèses'!B21</f>
        <v>150</v>
      </c>
      <c r="D10" s="17">
        <f>'⚙️ Hypothèses'!B21</f>
        <v>150</v>
      </c>
      <c r="E10" s="17">
        <f>'⚙️ Hypothèses'!B21</f>
        <v>150</v>
      </c>
      <c r="F10" s="17">
        <f>'⚙️ Hypothèses'!B21</f>
        <v>150</v>
      </c>
      <c r="G10" s="17">
        <f>'⚙️ Hypothèses'!B21</f>
        <v>150</v>
      </c>
      <c r="H10" s="17">
        <f>'⚙️ Hypothèses'!B21</f>
        <v>150</v>
      </c>
      <c r="I10" s="17">
        <f>'⚙️ Hypothèses'!B21</f>
        <v>150</v>
      </c>
      <c r="J10" s="17">
        <f>'⚙️ Hypothèses'!B21</f>
        <v>150</v>
      </c>
      <c r="K10" s="17">
        <f>'⚙️ Hypothèses'!B21</f>
        <v>150</v>
      </c>
      <c r="L10" s="17">
        <f>'⚙️ Hypothèses'!B21</f>
        <v>150</v>
      </c>
      <c r="M10" s="17">
        <f>'⚙️ Hypothèses'!B21</f>
        <v>150</v>
      </c>
      <c r="N10" s="18">
        <f t="shared" si="0"/>
        <v>1800</v>
      </c>
    </row>
    <row r="11" spans="1:14" ht="19.5" customHeight="1" x14ac:dyDescent="0.3">
      <c r="A11" s="16" t="s">
        <v>100</v>
      </c>
      <c r="B11" s="17">
        <f>'⚙️ Hypothèses'!B22</f>
        <v>30</v>
      </c>
      <c r="C11" s="17">
        <f>'⚙️ Hypothèses'!B22</f>
        <v>30</v>
      </c>
      <c r="D11" s="17">
        <f>'⚙️ Hypothèses'!B22</f>
        <v>30</v>
      </c>
      <c r="E11" s="17">
        <f>'⚙️ Hypothèses'!B22</f>
        <v>30</v>
      </c>
      <c r="F11" s="17">
        <f>'⚙️ Hypothèses'!B22</f>
        <v>30</v>
      </c>
      <c r="G11" s="17">
        <f>'⚙️ Hypothèses'!B22</f>
        <v>30</v>
      </c>
      <c r="H11" s="17">
        <f>'⚙️ Hypothèses'!B22</f>
        <v>30</v>
      </c>
      <c r="I11" s="17">
        <f>'⚙️ Hypothèses'!B22</f>
        <v>30</v>
      </c>
      <c r="J11" s="17">
        <f>'⚙️ Hypothèses'!B22</f>
        <v>30</v>
      </c>
      <c r="K11" s="17">
        <f>'⚙️ Hypothèses'!B22</f>
        <v>30</v>
      </c>
      <c r="L11" s="17">
        <f>'⚙️ Hypothèses'!B22</f>
        <v>30</v>
      </c>
      <c r="M11" s="17">
        <f>'⚙️ Hypothèses'!B22</f>
        <v>30</v>
      </c>
      <c r="N11" s="18">
        <f t="shared" si="0"/>
        <v>360</v>
      </c>
    </row>
    <row r="12" spans="1:14" ht="19.5" customHeight="1" x14ac:dyDescent="0.3">
      <c r="A12" s="16" t="s">
        <v>101</v>
      </c>
      <c r="B12" s="17">
        <f>'⚙️ Hypothèses'!B23</f>
        <v>50</v>
      </c>
      <c r="C12" s="17">
        <f>'⚙️ Hypothèses'!B23</f>
        <v>50</v>
      </c>
      <c r="D12" s="17">
        <f>'⚙️ Hypothèses'!B23</f>
        <v>50</v>
      </c>
      <c r="E12" s="17">
        <f>'⚙️ Hypothèses'!B23</f>
        <v>50</v>
      </c>
      <c r="F12" s="17">
        <f>'⚙️ Hypothèses'!B23</f>
        <v>50</v>
      </c>
      <c r="G12" s="17">
        <f>'⚙️ Hypothèses'!B23</f>
        <v>50</v>
      </c>
      <c r="H12" s="17">
        <f>'⚙️ Hypothèses'!B23</f>
        <v>50</v>
      </c>
      <c r="I12" s="17">
        <f>'⚙️ Hypothèses'!B23</f>
        <v>50</v>
      </c>
      <c r="J12" s="17">
        <f>'⚙️ Hypothèses'!B23</f>
        <v>50</v>
      </c>
      <c r="K12" s="17">
        <f>'⚙️ Hypothèses'!B23</f>
        <v>50</v>
      </c>
      <c r="L12" s="17">
        <f>'⚙️ Hypothèses'!B23</f>
        <v>50</v>
      </c>
      <c r="M12" s="17">
        <f>'⚙️ Hypothèses'!B23</f>
        <v>50</v>
      </c>
      <c r="N12" s="18">
        <f t="shared" si="0"/>
        <v>600</v>
      </c>
    </row>
    <row r="13" spans="1:14" ht="19.5" customHeight="1" x14ac:dyDescent="0.3">
      <c r="A13" s="16" t="s">
        <v>102</v>
      </c>
      <c r="B13" s="17">
        <f>B7*'⚙️ Hypothèses'!B24</f>
        <v>447.74400000000009</v>
      </c>
      <c r="C13" s="17">
        <f>C7*'⚙️ Hypothèses'!B24</f>
        <v>447.74400000000009</v>
      </c>
      <c r="D13" s="17">
        <f>D7*'⚙️ Hypothèses'!B24</f>
        <v>447.74400000000009</v>
      </c>
      <c r="E13" s="17">
        <f>E7*'⚙️ Hypothèses'!B24</f>
        <v>447.74400000000009</v>
      </c>
      <c r="F13" s="17">
        <f>F7*'⚙️ Hypothèses'!B24</f>
        <v>488.44800000000009</v>
      </c>
      <c r="G13" s="17">
        <f>G7*'⚙️ Hypothèses'!B24</f>
        <v>488.44800000000009</v>
      </c>
      <c r="H13" s="17">
        <f>H7*'⚙️ Hypothèses'!B24</f>
        <v>488.44800000000009</v>
      </c>
      <c r="I13" s="17">
        <f>I7*'⚙️ Hypothèses'!B24</f>
        <v>488.44800000000009</v>
      </c>
      <c r="J13" s="17">
        <f>J7*'⚙️ Hypothèses'!B24</f>
        <v>529.15199999999993</v>
      </c>
      <c r="K13" s="17">
        <f>K7*'⚙️ Hypothèses'!B24</f>
        <v>529.15199999999993</v>
      </c>
      <c r="L13" s="17">
        <f>L7*'⚙️ Hypothèses'!B24</f>
        <v>529.15199999999993</v>
      </c>
      <c r="M13" s="17">
        <f>M7*'⚙️ Hypothèses'!B24</f>
        <v>529.15199999999993</v>
      </c>
      <c r="N13" s="18">
        <f t="shared" si="0"/>
        <v>5861.3760000000011</v>
      </c>
    </row>
    <row r="14" spans="1:14" ht="19.5" customHeight="1" x14ac:dyDescent="0.3">
      <c r="A14" s="49" t="s">
        <v>103</v>
      </c>
      <c r="B14" s="50">
        <f t="shared" ref="B14:M14" si="1">SUM(B9:B13)</f>
        <v>877.74400000000014</v>
      </c>
      <c r="C14" s="50">
        <f t="shared" si="1"/>
        <v>877.74400000000014</v>
      </c>
      <c r="D14" s="50">
        <f t="shared" si="1"/>
        <v>877.74400000000014</v>
      </c>
      <c r="E14" s="50">
        <f t="shared" si="1"/>
        <v>877.74400000000014</v>
      </c>
      <c r="F14" s="50">
        <f t="shared" si="1"/>
        <v>918.44800000000009</v>
      </c>
      <c r="G14" s="50">
        <f t="shared" si="1"/>
        <v>918.44800000000009</v>
      </c>
      <c r="H14" s="50">
        <f t="shared" si="1"/>
        <v>918.44800000000009</v>
      </c>
      <c r="I14" s="50">
        <f t="shared" si="1"/>
        <v>918.44800000000009</v>
      </c>
      <c r="J14" s="50">
        <f t="shared" si="1"/>
        <v>959.15199999999993</v>
      </c>
      <c r="K14" s="50">
        <f t="shared" si="1"/>
        <v>959.15199999999993</v>
      </c>
      <c r="L14" s="50">
        <f t="shared" si="1"/>
        <v>959.15199999999993</v>
      </c>
      <c r="M14" s="50">
        <f t="shared" si="1"/>
        <v>959.15199999999993</v>
      </c>
      <c r="N14" s="18">
        <f t="shared" si="0"/>
        <v>11021.376000000002</v>
      </c>
    </row>
    <row r="15" spans="1:14" ht="19.5" customHeight="1" x14ac:dyDescent="0.3">
      <c r="A15" s="2" t="str">
        <f>IF('⚙️ Hypothèses'!B34="OUI","Versement libératoire IR (€)","Impôt sur revenu – prélèvement à la source (info)")</f>
        <v>Versement libératoire IR (€)</v>
      </c>
      <c r="B15" s="2">
        <f>IF('⚙️ Hypothèses'!B34="OUI",B7*'⚙️ Hypothèses'!B35,0)</f>
        <v>35.904000000000011</v>
      </c>
      <c r="C15" s="2">
        <f>IF('⚙️ Hypothèses'!B34="OUI",C7*'⚙️ Hypothèses'!B35,0)</f>
        <v>35.904000000000011</v>
      </c>
      <c r="D15" s="2">
        <f>IF('⚙️ Hypothèses'!B34="OUI",D7*'⚙️ Hypothèses'!B35,0)</f>
        <v>35.904000000000011</v>
      </c>
      <c r="E15" s="2">
        <f>IF('⚙️ Hypothèses'!B34="OUI",E7*'⚙️ Hypothèses'!B35,0)</f>
        <v>35.904000000000011</v>
      </c>
      <c r="F15" s="2">
        <f>IF('⚙️ Hypothèses'!B34="OUI",F7*'⚙️ Hypothèses'!B35,0)</f>
        <v>39.168000000000013</v>
      </c>
      <c r="G15" s="2">
        <f>IF('⚙️ Hypothèses'!B34="OUI",G7*'⚙️ Hypothèses'!B35,0)</f>
        <v>39.168000000000013</v>
      </c>
      <c r="H15" s="2">
        <f>IF('⚙️ Hypothèses'!B34="OUI",H7*'⚙️ Hypothèses'!B35,0)</f>
        <v>39.168000000000013</v>
      </c>
      <c r="I15" s="2">
        <f>IF('⚙️ Hypothèses'!B34="OUI",I7*'⚙️ Hypothèses'!B35,0)</f>
        <v>39.168000000000013</v>
      </c>
      <c r="J15" s="2">
        <f>IF('⚙️ Hypothèses'!B34="OUI",J7*'⚙️ Hypothèses'!B35,0)</f>
        <v>42.432000000000002</v>
      </c>
      <c r="K15" s="2">
        <f>IF('⚙️ Hypothèses'!B34="OUI",K7*'⚙️ Hypothèses'!B35,0)</f>
        <v>42.432000000000002</v>
      </c>
      <c r="L15" s="2">
        <f>IF('⚙️ Hypothèses'!B34="OUI",L7*'⚙️ Hypothèses'!B35,0)</f>
        <v>42.432000000000002</v>
      </c>
      <c r="M15" s="2">
        <f>IF('⚙️ Hypothèses'!B34="OUI",M7*'⚙️ Hypothèses'!B35,0)</f>
        <v>42.432000000000002</v>
      </c>
      <c r="N15" s="2">
        <f t="shared" si="0"/>
        <v>470.01600000000013</v>
      </c>
    </row>
    <row r="16" spans="1:14" ht="19.5" customHeight="1" x14ac:dyDescent="0.3">
      <c r="A16" s="51" t="s">
        <v>104</v>
      </c>
      <c r="B16" s="19">
        <f>'⚙️ Hypothèses'!B36*'⚙️ Hypothèses'!B39/12</f>
        <v>33.333333333333336</v>
      </c>
      <c r="C16" s="19">
        <f>'⚙️ Hypothèses'!B36*'⚙️ Hypothèses'!B39/12</f>
        <v>33.333333333333336</v>
      </c>
      <c r="D16" s="19">
        <f>'⚙️ Hypothèses'!B36*'⚙️ Hypothèses'!B39/12</f>
        <v>33.333333333333336</v>
      </c>
      <c r="E16" s="19">
        <f>'⚙️ Hypothèses'!B36*'⚙️ Hypothèses'!B39/12</f>
        <v>33.333333333333336</v>
      </c>
      <c r="F16" s="19">
        <f>'⚙️ Hypothèses'!B36*'⚙️ Hypothèses'!B39/12</f>
        <v>33.333333333333336</v>
      </c>
      <c r="G16" s="19">
        <f>'⚙️ Hypothèses'!B36*'⚙️ Hypothèses'!B39/12</f>
        <v>33.333333333333336</v>
      </c>
      <c r="H16" s="19">
        <f>'⚙️ Hypothèses'!B36*'⚙️ Hypothèses'!B39/12</f>
        <v>33.333333333333336</v>
      </c>
      <c r="I16" s="19">
        <f>'⚙️ Hypothèses'!B36*'⚙️ Hypothèses'!B39/12</f>
        <v>33.333333333333336</v>
      </c>
      <c r="J16" s="19">
        <f>'⚙️ Hypothèses'!B36*'⚙️ Hypothèses'!B39/12</f>
        <v>33.333333333333336</v>
      </c>
      <c r="K16" s="19">
        <f>'⚙️ Hypothèses'!B36*'⚙️ Hypothèses'!B39/12</f>
        <v>33.333333333333336</v>
      </c>
      <c r="L16" s="19">
        <f>'⚙️ Hypothèses'!B36*'⚙️ Hypothèses'!B39/12</f>
        <v>33.333333333333336</v>
      </c>
      <c r="M16" s="19">
        <f>'⚙️ Hypothèses'!B36*'⚙️ Hypothèses'!B39/12</f>
        <v>33.333333333333336</v>
      </c>
      <c r="N16" s="52">
        <f t="shared" si="0"/>
        <v>399.99999999999994</v>
      </c>
    </row>
    <row r="17" spans="1:14" ht="19.5" customHeight="1" x14ac:dyDescent="0.3">
      <c r="A17" s="53" t="s">
        <v>105</v>
      </c>
      <c r="B17" s="54">
        <f t="shared" ref="B17:M17" si="2">SUM(B9:B13)+B15+B16</f>
        <v>946.98133333333351</v>
      </c>
      <c r="C17" s="54">
        <f t="shared" si="2"/>
        <v>946.98133333333351</v>
      </c>
      <c r="D17" s="54">
        <f t="shared" si="2"/>
        <v>946.98133333333351</v>
      </c>
      <c r="E17" s="54">
        <f t="shared" si="2"/>
        <v>946.98133333333351</v>
      </c>
      <c r="F17" s="54">
        <f t="shared" si="2"/>
        <v>990.94933333333347</v>
      </c>
      <c r="G17" s="54">
        <f t="shared" si="2"/>
        <v>990.94933333333347</v>
      </c>
      <c r="H17" s="54">
        <f t="shared" si="2"/>
        <v>990.94933333333347</v>
      </c>
      <c r="I17" s="54">
        <f t="shared" si="2"/>
        <v>990.94933333333347</v>
      </c>
      <c r="J17" s="54">
        <f t="shared" si="2"/>
        <v>1034.9173333333333</v>
      </c>
      <c r="K17" s="54">
        <f t="shared" si="2"/>
        <v>1034.9173333333333</v>
      </c>
      <c r="L17" s="54">
        <f t="shared" si="2"/>
        <v>1034.9173333333333</v>
      </c>
      <c r="M17" s="54">
        <f t="shared" si="2"/>
        <v>1034.9173333333333</v>
      </c>
      <c r="N17" s="54">
        <f t="shared" si="0"/>
        <v>11891.392</v>
      </c>
    </row>
    <row r="18" spans="1:14" ht="19.5" customHeight="1" x14ac:dyDescent="0.3">
      <c r="A18" s="1" t="str">
        <f>IF(N7&gt;'⚙️ Hypothèses'!B33,"🚨 CA dépasse 41 250 € – TVA obligatoire dès ce mois ! Facturer la TVA à 20%",IF(N7&gt;'⚙️ Hypothèses'!B32,"⚠️ CA entre 37 500 € et 41 250 € – Zone de tolérance TVA. Surveiller !","✅ Franchise TVA active – CA sous le seuil de " &amp; TEXT('⚙️ Hypothèses'!B32,"# ##0") &amp; " €"))</f>
        <v>✅ Franchise TVA active – CA sous le seuil de 37 500 €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1.75" customHeight="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3">
      <c r="A20" s="58" t="s">
        <v>106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2"/>
    </row>
    <row r="21" spans="1:14" x14ac:dyDescent="0.3">
      <c r="A21" s="47" t="s">
        <v>107</v>
      </c>
      <c r="B21" s="48">
        <f t="shared" ref="B21:M21" si="3">B7-B17</f>
        <v>1165.0186666666668</v>
      </c>
      <c r="C21" s="48">
        <f t="shared" si="3"/>
        <v>1165.0186666666668</v>
      </c>
      <c r="D21" s="48">
        <f t="shared" si="3"/>
        <v>1165.0186666666668</v>
      </c>
      <c r="E21" s="48">
        <f t="shared" si="3"/>
        <v>1165.0186666666668</v>
      </c>
      <c r="F21" s="48">
        <f t="shared" si="3"/>
        <v>1313.050666666667</v>
      </c>
      <c r="G21" s="48">
        <f t="shared" si="3"/>
        <v>1313.050666666667</v>
      </c>
      <c r="H21" s="48">
        <f t="shared" si="3"/>
        <v>1313.050666666667</v>
      </c>
      <c r="I21" s="48">
        <f t="shared" si="3"/>
        <v>1313.050666666667</v>
      </c>
      <c r="J21" s="48">
        <f t="shared" si="3"/>
        <v>1461.0826666666667</v>
      </c>
      <c r="K21" s="48">
        <f t="shared" si="3"/>
        <v>1461.0826666666667</v>
      </c>
      <c r="L21" s="48">
        <f t="shared" si="3"/>
        <v>1461.0826666666667</v>
      </c>
      <c r="M21" s="48">
        <f t="shared" si="3"/>
        <v>1461.0826666666667</v>
      </c>
      <c r="N21" s="18">
        <f>SUM(B21:M21)</f>
        <v>15756.608000000004</v>
      </c>
    </row>
    <row r="22" spans="1:14" x14ac:dyDescent="0.3">
      <c r="A22" s="51" t="s">
        <v>120</v>
      </c>
      <c r="B22" s="19">
        <f>'📅 2028'!N22+B21</f>
        <v>27549.082666666669</v>
      </c>
      <c r="C22" s="19">
        <f t="shared" ref="C22:M22" si="4">B22+C21</f>
        <v>28714.101333333336</v>
      </c>
      <c r="D22" s="19">
        <f t="shared" si="4"/>
        <v>29879.120000000003</v>
      </c>
      <c r="E22" s="19">
        <f t="shared" si="4"/>
        <v>31044.138666666669</v>
      </c>
      <c r="F22" s="19">
        <f t="shared" si="4"/>
        <v>32357.189333333336</v>
      </c>
      <c r="G22" s="19">
        <f t="shared" si="4"/>
        <v>33670.240000000005</v>
      </c>
      <c r="H22" s="19">
        <f t="shared" si="4"/>
        <v>34983.290666666675</v>
      </c>
      <c r="I22" s="19">
        <f t="shared" si="4"/>
        <v>36296.341333333345</v>
      </c>
      <c r="J22" s="19">
        <f t="shared" si="4"/>
        <v>37757.424000000014</v>
      </c>
      <c r="K22" s="19">
        <f t="shared" si="4"/>
        <v>39218.506666666683</v>
      </c>
      <c r="L22" s="19">
        <f t="shared" si="4"/>
        <v>40679.589333333352</v>
      </c>
      <c r="M22" s="19">
        <f t="shared" si="4"/>
        <v>42140.67200000002</v>
      </c>
      <c r="N22" s="18">
        <f>M22</f>
        <v>42140.67200000002</v>
      </c>
    </row>
    <row r="23" spans="1:14" x14ac:dyDescent="0.3">
      <c r="A23" s="28" t="s">
        <v>109</v>
      </c>
      <c r="B23" s="25">
        <f t="shared" ref="B23:N23" si="5">IF(B7=0,"-",B21/B7)</f>
        <v>0.55161868686868687</v>
      </c>
      <c r="C23" s="25">
        <f t="shared" si="5"/>
        <v>0.55161868686868687</v>
      </c>
      <c r="D23" s="25">
        <f t="shared" si="5"/>
        <v>0.55161868686868687</v>
      </c>
      <c r="E23" s="25">
        <f t="shared" si="5"/>
        <v>0.55161868686868687</v>
      </c>
      <c r="F23" s="25">
        <f t="shared" si="5"/>
        <v>0.56990046296296304</v>
      </c>
      <c r="G23" s="25">
        <f t="shared" si="5"/>
        <v>0.56990046296296304</v>
      </c>
      <c r="H23" s="25">
        <f t="shared" si="5"/>
        <v>0.56990046296296304</v>
      </c>
      <c r="I23" s="25">
        <f t="shared" si="5"/>
        <v>0.56990046296296304</v>
      </c>
      <c r="J23" s="25">
        <f t="shared" si="5"/>
        <v>0.58536965811965813</v>
      </c>
      <c r="K23" s="25">
        <f t="shared" si="5"/>
        <v>0.58536965811965813</v>
      </c>
      <c r="L23" s="25">
        <f t="shared" si="5"/>
        <v>0.58536965811965813</v>
      </c>
      <c r="M23" s="25">
        <f t="shared" si="5"/>
        <v>0.58536965811965813</v>
      </c>
      <c r="N23" s="26">
        <f t="shared" si="5"/>
        <v>0.56990046296296304</v>
      </c>
    </row>
    <row r="24" spans="1:14" x14ac:dyDescent="0.3">
      <c r="A24" s="59" t="str">
        <f>IF(N7&gt;77700,"⚠️ Dépassement seuil micro-ent. !",IF(N7&gt;36800,"📢 Franchise TVA approchée","✅ Dans les seuils micro-entreprise"))</f>
        <v>✅ Dans les seuils micro-entreprise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60"/>
    </row>
    <row r="25" spans="1:14" s="63" customFormat="1" x14ac:dyDescent="0.3"/>
    <row r="26" spans="1:14" s="63" customFormat="1" x14ac:dyDescent="0.3"/>
    <row r="27" spans="1:14" s="63" customFormat="1" x14ac:dyDescent="0.3"/>
    <row r="28" spans="1:14" s="63" customFormat="1" x14ac:dyDescent="0.3"/>
    <row r="29" spans="1:14" s="63" customFormat="1" x14ac:dyDescent="0.3"/>
    <row r="30" spans="1:14" s="63" customFormat="1" x14ac:dyDescent="0.3"/>
    <row r="31" spans="1:14" s="63" customFormat="1" x14ac:dyDescent="0.3"/>
    <row r="32" spans="1:14" s="63" customFormat="1" x14ac:dyDescent="0.3"/>
    <row r="33" s="63" customFormat="1" x14ac:dyDescent="0.3"/>
    <row r="34" s="63" customFormat="1" x14ac:dyDescent="0.3"/>
    <row r="35" s="63" customFormat="1" x14ac:dyDescent="0.3"/>
    <row r="36" s="63" customFormat="1" x14ac:dyDescent="0.3"/>
    <row r="37" s="63" customFormat="1" x14ac:dyDescent="0.3"/>
    <row r="38" s="63" customFormat="1" x14ac:dyDescent="0.3"/>
    <row r="39" s="63" customFormat="1" x14ac:dyDescent="0.3"/>
    <row r="40" s="63" customFormat="1" x14ac:dyDescent="0.3"/>
    <row r="41" s="63" customFormat="1" x14ac:dyDescent="0.3"/>
    <row r="42" s="63" customFormat="1" x14ac:dyDescent="0.3"/>
    <row r="43" s="63" customFormat="1" x14ac:dyDescent="0.3"/>
    <row r="44" s="63" customFormat="1" x14ac:dyDescent="0.3"/>
    <row r="45" s="63" customFormat="1" x14ac:dyDescent="0.3"/>
    <row r="46" s="63" customFormat="1" x14ac:dyDescent="0.3"/>
    <row r="47" s="63" customFormat="1" x14ac:dyDescent="0.3"/>
    <row r="48" s="63" customFormat="1" x14ac:dyDescent="0.3"/>
    <row r="49" s="63" customFormat="1" x14ac:dyDescent="0.3"/>
    <row r="50" s="63" customFormat="1" x14ac:dyDescent="0.3"/>
    <row r="51" s="63" customFormat="1" x14ac:dyDescent="0.3"/>
    <row r="52" s="63" customFormat="1" x14ac:dyDescent="0.3"/>
    <row r="53" s="63" customFormat="1" x14ac:dyDescent="0.3"/>
    <row r="54" s="63" customFormat="1" x14ac:dyDescent="0.3"/>
    <row r="55" s="63" customFormat="1" x14ac:dyDescent="0.3"/>
    <row r="56" s="63" customFormat="1" x14ac:dyDescent="0.3"/>
    <row r="57" s="63" customFormat="1" x14ac:dyDescent="0.3"/>
    <row r="58" s="63" customFormat="1" x14ac:dyDescent="0.3"/>
    <row r="59" s="63" customFormat="1" x14ac:dyDescent="0.3"/>
    <row r="60" s="63" customFormat="1" x14ac:dyDescent="0.3"/>
    <row r="61" s="63" customFormat="1" x14ac:dyDescent="0.3"/>
    <row r="62" s="63" customFormat="1" x14ac:dyDescent="0.3"/>
    <row r="63" s="63" customFormat="1" x14ac:dyDescent="0.3"/>
    <row r="64" s="63" customFormat="1" x14ac:dyDescent="0.3"/>
    <row r="65" s="63" customFormat="1" x14ac:dyDescent="0.3"/>
    <row r="66" s="63" customFormat="1" x14ac:dyDescent="0.3"/>
    <row r="67" s="63" customFormat="1" x14ac:dyDescent="0.3"/>
    <row r="68" s="63" customFormat="1" x14ac:dyDescent="0.3"/>
    <row r="69" s="63" customFormat="1" x14ac:dyDescent="0.3"/>
    <row r="70" s="63" customFormat="1" x14ac:dyDescent="0.3"/>
    <row r="71" s="63" customFormat="1" x14ac:dyDescent="0.3"/>
    <row r="72" s="63" customFormat="1" x14ac:dyDescent="0.3"/>
    <row r="73" s="63" customFormat="1" x14ac:dyDescent="0.3"/>
    <row r="74" s="63" customFormat="1" x14ac:dyDescent="0.3"/>
    <row r="75" s="63" customFormat="1" x14ac:dyDescent="0.3"/>
    <row r="76" s="63" customFormat="1" x14ac:dyDescent="0.3"/>
    <row r="77" s="63" customFormat="1" x14ac:dyDescent="0.3"/>
    <row r="78" s="63" customFormat="1" x14ac:dyDescent="0.3"/>
    <row r="79" s="63" customFormat="1" x14ac:dyDescent="0.3"/>
    <row r="80" s="63" customFormat="1" x14ac:dyDescent="0.3"/>
    <row r="81" s="63" customFormat="1" x14ac:dyDescent="0.3"/>
    <row r="82" s="63" customFormat="1" x14ac:dyDescent="0.3"/>
    <row r="83" s="63" customFormat="1" x14ac:dyDescent="0.3"/>
    <row r="84" s="63" customFormat="1" x14ac:dyDescent="0.3"/>
    <row r="85" s="63" customFormat="1" x14ac:dyDescent="0.3"/>
    <row r="86" s="63" customFormat="1" x14ac:dyDescent="0.3"/>
    <row r="87" s="63" customFormat="1" x14ac:dyDescent="0.3"/>
    <row r="88" s="63" customFormat="1" x14ac:dyDescent="0.3"/>
    <row r="89" s="63" customFormat="1" x14ac:dyDescent="0.3"/>
    <row r="90" s="63" customFormat="1" x14ac:dyDescent="0.3"/>
    <row r="91" s="63" customFormat="1" x14ac:dyDescent="0.3"/>
    <row r="92" s="63" customFormat="1" x14ac:dyDescent="0.3"/>
    <row r="93" s="63" customFormat="1" x14ac:dyDescent="0.3"/>
    <row r="94" s="63" customFormat="1" x14ac:dyDescent="0.3"/>
    <row r="95" s="63" customFormat="1" x14ac:dyDescent="0.3"/>
    <row r="96" s="63" customFormat="1" x14ac:dyDescent="0.3"/>
    <row r="97" s="63" customFormat="1" x14ac:dyDescent="0.3"/>
    <row r="98" s="63" customFormat="1" x14ac:dyDescent="0.3"/>
    <row r="99" s="63" customFormat="1" x14ac:dyDescent="0.3"/>
    <row r="100" s="63" customFormat="1" x14ac:dyDescent="0.3"/>
    <row r="101" s="63" customFormat="1" x14ac:dyDescent="0.3"/>
    <row r="102" s="63" customFormat="1" x14ac:dyDescent="0.3"/>
    <row r="103" s="63" customFormat="1" x14ac:dyDescent="0.3"/>
    <row r="104" s="63" customFormat="1" x14ac:dyDescent="0.3"/>
    <row r="105" s="63" customFormat="1" x14ac:dyDescent="0.3"/>
    <row r="106" s="63" customFormat="1" x14ac:dyDescent="0.3"/>
    <row r="107" s="63" customFormat="1" x14ac:dyDescent="0.3"/>
    <row r="108" s="63" customFormat="1" x14ac:dyDescent="0.3"/>
    <row r="109" s="63" customFormat="1" x14ac:dyDescent="0.3"/>
    <row r="110" s="63" customFormat="1" x14ac:dyDescent="0.3"/>
  </sheetData>
  <mergeCells count="7">
    <mergeCell ref="A18:N18"/>
    <mergeCell ref="A19:N19"/>
    <mergeCell ref="A1:N1"/>
    <mergeCell ref="A2:N2"/>
    <mergeCell ref="A4:N4"/>
    <mergeCell ref="A8:N8"/>
    <mergeCell ref="A15:N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📊 Récap 4 ans</vt:lpstr>
      <vt:lpstr>⚙️ Hypothèses</vt:lpstr>
      <vt:lpstr>📅 2026</vt:lpstr>
      <vt:lpstr>📅 2027</vt:lpstr>
      <vt:lpstr>📅 2028</vt:lpstr>
      <vt:lpstr>📅 2029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marine GAVARD</cp:lastModifiedBy>
  <cp:revision>0</cp:revision>
  <dcterms:created xsi:type="dcterms:W3CDTF">2026-04-30T17:04:42Z</dcterms:created>
  <dcterms:modified xsi:type="dcterms:W3CDTF">2026-04-30T17:24:29Z</dcterms:modified>
  <dc:language>en-US</dc:language>
</cp:coreProperties>
</file>